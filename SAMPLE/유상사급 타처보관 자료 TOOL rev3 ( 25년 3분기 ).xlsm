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Junyong\07. 반제품 발주\재고자산 확인서\"/>
    </mc:Choice>
  </mc:AlternateContent>
  <xr:revisionPtr revIDLastSave="0" documentId="13_ncr:1_{EDBC201F-7273-4B0D-9DFF-E1AA9A8FB2B3}" xr6:coauthVersionLast="47" xr6:coauthVersionMax="47" xr10:uidLastSave="{00000000-0000-0000-0000-000000000000}"/>
  <bookViews>
    <workbookView xWindow="-120" yWindow="-120" windowWidth="29040" windowHeight="15720" activeTab="1" xr2:uid="{67325ADD-1C83-42EF-877E-40ABC30D2968}"/>
  </bookViews>
  <sheets>
    <sheet name="자재매출 DATA" sheetId="1" r:id="rId1"/>
    <sheet name="재고자산확인서 양식" sheetId="4" r:id="rId2"/>
    <sheet name="Sheet1" sheetId="11" r:id="rId3"/>
    <sheet name="업체 리스트" sheetId="6" r:id="rId4"/>
  </sheets>
  <definedNames>
    <definedName name="_xlnm._FilterDatabase" localSheetId="0" hidden="1">'자재매출 DATA'!$A$1:$O$2143</definedName>
    <definedName name="_xlnm.Print_Area" localSheetId="3">'업체 리스트'!$A$1:$I$35</definedName>
    <definedName name="_xlnm.Print_Area" localSheetId="1">'재고자산확인서 양식'!$A$1:$G$23</definedName>
    <definedName name="_xlnm.Print_Titles" localSheetId="1">'재고자산확인서 양식'!$1:$3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2" i="1"/>
  <c r="P2" i="11" l="1" a="1"/>
  <c r="P2" i="11" s="1"/>
  <c r="K2" i="11" a="1"/>
  <c r="K2" i="11" s="1"/>
  <c r="B2" i="11" a="1"/>
  <c r="B2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<sst xmlns="http://schemas.openxmlformats.org/spreadsheetml/2006/main" count="13742" uniqueCount="2225">
  <si>
    <t>사업장</t>
    <phoneticPr fontId="3" type="noConversion"/>
  </si>
  <si>
    <t>자재코드</t>
  </si>
  <si>
    <t>색상</t>
  </si>
  <si>
    <t>자재명</t>
  </si>
  <si>
    <t>유형</t>
  </si>
  <si>
    <t>거래처명</t>
  </si>
  <si>
    <t>입고량</t>
  </si>
  <si>
    <t>출고량</t>
  </si>
  <si>
    <t>단가</t>
  </si>
  <si>
    <t>수불금액</t>
  </si>
  <si>
    <t>입고금액</t>
  </si>
  <si>
    <t>출고금액</t>
  </si>
  <si>
    <t>규격</t>
  </si>
  <si>
    <t>계정구분</t>
  </si>
  <si>
    <t>퍼시스충주1공장</t>
    <phoneticPr fontId="3" type="noConversion"/>
  </si>
  <si>
    <t>ETCS000216-R000</t>
  </si>
  <si>
    <t>XX</t>
  </si>
  <si>
    <t>키,개폐표시 단독키26</t>
  </si>
  <si>
    <t>자재매출</t>
  </si>
  <si>
    <t>(주)제일퍼니처</t>
  </si>
  <si>
    <t>스페이서:1EA, 키링:1EA, 키:2EA</t>
  </si>
  <si>
    <t>부재료</t>
  </si>
  <si>
    <t>주식회사 바로스 성남(일룸)</t>
  </si>
  <si>
    <t>세진퍼니처</t>
  </si>
  <si>
    <t>ETCS000217-R000</t>
  </si>
  <si>
    <t>키,개폐표시중앙키</t>
  </si>
  <si>
    <t>(주)진산기업</t>
  </si>
  <si>
    <t>ETEP000031-R000</t>
  </si>
  <si>
    <t>WW</t>
  </si>
  <si>
    <t>주식회사 바로스 성남(안성AS)</t>
  </si>
  <si>
    <t>ETEP000032-R000</t>
  </si>
  <si>
    <t>BK</t>
  </si>
  <si>
    <t>전자키,엣지 서랍 NFC ASS'Y (A형) BK</t>
  </si>
  <si>
    <t>ETEP000133-R000</t>
  </si>
  <si>
    <t>키,디지털 버튼키 피스 포함(LED용)</t>
  </si>
  <si>
    <t>(주)송아퍼니처</t>
  </si>
  <si>
    <t>디지털버튼부+구동부+배터리부</t>
  </si>
  <si>
    <t>ETEP000134-R000</t>
  </si>
  <si>
    <t>키,디지털 버튼키 피스 포함(LED용) 고정서랍용</t>
  </si>
  <si>
    <t>ETET000418-R000</t>
  </si>
  <si>
    <t>CLS</t>
  </si>
  <si>
    <t>유리,도어 CAB0083UG 상3단</t>
  </si>
  <si>
    <t>1067*395*5MM</t>
  </si>
  <si>
    <t>ETET000421-R000</t>
  </si>
  <si>
    <t>거울,옷장 3t*300*600 E-3 클래식용</t>
  </si>
  <si>
    <t>300*600*3T</t>
  </si>
  <si>
    <t>ETET000846-R001</t>
  </si>
  <si>
    <t>GY</t>
  </si>
  <si>
    <t>일룸 실리콘 라벨</t>
  </si>
  <si>
    <t>에픽</t>
  </si>
  <si>
    <t>30*49*13.5</t>
  </si>
  <si>
    <t>ETFS000931-R000</t>
  </si>
  <si>
    <t>NT</t>
  </si>
  <si>
    <t>볼트,나비 M6*12</t>
  </si>
  <si>
    <t>M6*12</t>
  </si>
  <si>
    <t>ETFS001264-R000</t>
  </si>
  <si>
    <t>15t용 Ø20용(자동설비용)</t>
  </si>
  <si>
    <t>MM</t>
  </si>
  <si>
    <t>케이싱,15T Ø20용 MM</t>
  </si>
  <si>
    <t>UA</t>
  </si>
  <si>
    <t>케이싱,15T Ø20용 UA</t>
  </si>
  <si>
    <t>(주)토탈공예</t>
  </si>
  <si>
    <t>케이싱,15T Ø20용 WW</t>
  </si>
  <si>
    <t>주식회사 신일퍼니처</t>
  </si>
  <si>
    <t>ETFS001266-R000</t>
  </si>
  <si>
    <t>WH</t>
  </si>
  <si>
    <t>5*25MM Ø20용</t>
  </si>
  <si>
    <t>NI</t>
  </si>
  <si>
    <t>올품퍼니처 주식회사</t>
  </si>
  <si>
    <t>_x0000__x0000__x0000__x0000_*_x0000__x0000__x0000__x0000_*_x0000__x0000__x0000__x0000_</t>
  </si>
  <si>
    <t>ETFS002507-R000</t>
  </si>
  <si>
    <t>평머리볼트 M6*42 NI(팅클팝/쿠시노 전용)</t>
  </si>
  <si>
    <t>M6×42</t>
  </si>
  <si>
    <t>ETHW000026-R000</t>
  </si>
  <si>
    <t>일방향 캐스터, CBC0040</t>
  </si>
  <si>
    <t>-</t>
  </si>
  <si>
    <t>ETHW000312-R000</t>
  </si>
  <si>
    <t>IVM</t>
  </si>
  <si>
    <t>각도조절유닛 376 IVM (HSKD051XF)</t>
  </si>
  <si>
    <t>376.5*104*30.5</t>
  </si>
  <si>
    <t>ETHW000429-R000</t>
  </si>
  <si>
    <t>CR</t>
  </si>
  <si>
    <t>걸이,타이 E-3/클레식용</t>
  </si>
  <si>
    <t>(주)유진퍼니처</t>
  </si>
  <si>
    <t>ETHW000430-R000</t>
  </si>
  <si>
    <t>수대,스킵판</t>
  </si>
  <si>
    <t>60*39*22</t>
  </si>
  <si>
    <t>0*0*0</t>
  </si>
  <si>
    <t>ETHW000444-R000</t>
  </si>
  <si>
    <t>키,일반중앙 국산 코어분리형(키링 제외)</t>
  </si>
  <si>
    <t>키링 삭제</t>
  </si>
  <si>
    <t>ETHW000461-R000</t>
  </si>
  <si>
    <t>키링,개폐표시</t>
  </si>
  <si>
    <t>ETHW000468-R000</t>
  </si>
  <si>
    <t>키,SIMULTAN일반(개폐표시용,흥진)</t>
  </si>
  <si>
    <t>실린더-1EA,키코어1EA,키-2EA</t>
  </si>
  <si>
    <t>ETHW000475-R000</t>
  </si>
  <si>
    <t>키,개폐표시중앙(GPN용)</t>
  </si>
  <si>
    <t>코어 포함</t>
  </si>
  <si>
    <t>ETHW000476-R000</t>
  </si>
  <si>
    <t>레일,한독 350 측판용 BK (DD3_좁은 서랍용)</t>
  </si>
  <si>
    <t>OUTER+CENTER</t>
  </si>
  <si>
    <t>(좌/우 1조)</t>
  </si>
  <si>
    <t>ETHW000481-R000</t>
  </si>
  <si>
    <t>레일,전한 3단 600 신형 D-6용(전착도장) BK</t>
  </si>
  <si>
    <t>OUTER+CENTER(전착도장)</t>
  </si>
  <si>
    <t>ETHW000485-R000</t>
  </si>
  <si>
    <t>레일,A4콤비</t>
  </si>
  <si>
    <t>ETHW000488-R000</t>
  </si>
  <si>
    <t>레일,JW-450 300  측판용</t>
  </si>
  <si>
    <t>300mm</t>
  </si>
  <si>
    <t>엘에스에프(LSF)</t>
  </si>
  <si>
    <t>ETHW000489-R000</t>
  </si>
  <si>
    <t>레일,JW-450 300  속서랍용</t>
  </si>
  <si>
    <t>ETHW000490-R000</t>
  </si>
  <si>
    <t>레일,JW-450 250  측판용</t>
  </si>
  <si>
    <t>250mm(좌/우 1조)</t>
  </si>
  <si>
    <t>ETHW000497-R000</t>
  </si>
  <si>
    <t>레일,전한 3단 400(측판용)</t>
  </si>
  <si>
    <t>정운시스템</t>
  </si>
  <si>
    <t>주식회사 칠성</t>
  </si>
  <si>
    <t>ETHW000498-R000</t>
  </si>
  <si>
    <t>볼트,높이조절 EURO</t>
  </si>
  <si>
    <t>ETHW000499-R000</t>
  </si>
  <si>
    <t>볼트,높이조절 S-CABINET</t>
  </si>
  <si>
    <t>L:25</t>
  </si>
  <si>
    <t>ETHW000500-R000</t>
  </si>
  <si>
    <t>조절장치,일룸</t>
  </si>
  <si>
    <t>볼트길이 41mm</t>
  </si>
  <si>
    <t>ETHW000501-R000</t>
  </si>
  <si>
    <t>NA</t>
  </si>
  <si>
    <t>SMOVE(문주)</t>
  </si>
  <si>
    <t>MDS012S</t>
  </si>
  <si>
    <t>ETHW000502-R000</t>
  </si>
  <si>
    <t>실린더,SMOVE 테두리:BK</t>
  </si>
  <si>
    <t>SALICE-D006SN3</t>
  </si>
  <si>
    <t>ETHW000504-R000</t>
  </si>
  <si>
    <t>플랩스테이,R-160</t>
  </si>
  <si>
    <t>헤펠레(356.86.704)</t>
  </si>
  <si>
    <t>ETHW000516-R000</t>
  </si>
  <si>
    <t>힌지,셀프오프닝</t>
  </si>
  <si>
    <t>SALICE C2APA99</t>
  </si>
  <si>
    <t>ETHW000517-R000</t>
  </si>
  <si>
    <t>힌지,플랩</t>
  </si>
  <si>
    <t>Hettich-100268600</t>
  </si>
  <si>
    <t>ETHW000523-R000</t>
  </si>
  <si>
    <t>프리플랩1.5 B타입(L형) WHT</t>
  </si>
  <si>
    <t>헤펠레 372.39.811</t>
  </si>
  <si>
    <t>ETHW000533-R000</t>
  </si>
  <si>
    <t>레일,헤티 25SFG/400L</t>
  </si>
  <si>
    <t>Quadro 25SFG/400(L)</t>
  </si>
  <si>
    <t>ETHW000534-R000</t>
  </si>
  <si>
    <t>레일,헤티 25SFG/400R</t>
  </si>
  <si>
    <t>Quadro 25SFG/400(R)</t>
  </si>
  <si>
    <t>ETHW000539-R000</t>
  </si>
  <si>
    <t>레일,헤티댐핑 25HD/450L (W23-1R-519L)</t>
  </si>
  <si>
    <t>Quadro 25HD/450(L)</t>
  </si>
  <si>
    <t>ETHW000540-R000</t>
  </si>
  <si>
    <t>레일,헤티댐핑 25HD/450R (W23-1R-519R)</t>
  </si>
  <si>
    <t>Quadro 25HD/450(R)</t>
  </si>
  <si>
    <t>ETHW000545-R000</t>
  </si>
  <si>
    <t>LG</t>
  </si>
  <si>
    <t>자석,캐치부착형,마운트포함(피치:19)</t>
  </si>
  <si>
    <t>FERRAMENTA(4523.252(752))</t>
  </si>
  <si>
    <t>JENP JOU ENTERPRISE</t>
  </si>
  <si>
    <t>ETHW000548-R000</t>
  </si>
  <si>
    <t>캐스터,나일론 40_14.7 핀,스토퍼 (W23-3I-311A)</t>
  </si>
  <si>
    <t>ETHW000553-R000</t>
  </si>
  <si>
    <t>TS</t>
  </si>
  <si>
    <t>캐스터,나일론 40_14.7 핀,스토퍼 (W23-3I-321A)</t>
  </si>
  <si>
    <t>ETHW000575-R000</t>
  </si>
  <si>
    <t>Φ27 일방향 캐스터 MM</t>
  </si>
  <si>
    <t>91.7*27.3*33</t>
  </si>
  <si>
    <t>SV</t>
  </si>
  <si>
    <t>주식회사 엘디자인</t>
  </si>
  <si>
    <t>ETHW001290-R000</t>
  </si>
  <si>
    <t>ETHW001291-R000</t>
  </si>
  <si>
    <t>FBFP002687-R000</t>
  </si>
  <si>
    <t>C127</t>
  </si>
  <si>
    <t>펠트,점착패드 25*10*2t (일면점착)</t>
  </si>
  <si>
    <t>25*10*2t (일면점착)</t>
  </si>
  <si>
    <t>NSNW000653-R001</t>
  </si>
  <si>
    <t>WWM</t>
  </si>
  <si>
    <t>S0 손잡이 WWM (로고 인쇄)</t>
  </si>
  <si>
    <t>111*40*13.5(스프링 타입)</t>
  </si>
  <si>
    <t>NSNW000890-R000</t>
  </si>
  <si>
    <t>손잡이,S유리</t>
  </si>
  <si>
    <t>Matt Chrome 도금</t>
  </si>
  <si>
    <t>NSNW000893-R000</t>
  </si>
  <si>
    <t>손잡이,D2용</t>
  </si>
  <si>
    <t>NSNW000895-R000</t>
  </si>
  <si>
    <t>MCR</t>
  </si>
  <si>
    <t>손잡이,E0 신형</t>
  </si>
  <si>
    <t>CG</t>
  </si>
  <si>
    <t>NSNW000908-R000</t>
  </si>
  <si>
    <t>FIV</t>
  </si>
  <si>
    <t>손잡이,사각 FIV</t>
  </si>
  <si>
    <t>44*44*12</t>
  </si>
  <si>
    <t>손잡이,사각 GY</t>
  </si>
  <si>
    <t>NSNW000913-R000</t>
  </si>
  <si>
    <t>BG</t>
  </si>
  <si>
    <t>SP</t>
  </si>
  <si>
    <t>NSNW000995-R000</t>
  </si>
  <si>
    <t>IIV</t>
  </si>
  <si>
    <t>스마트데스크 나비힌지 IIV</t>
  </si>
  <si>
    <t>72*40*10</t>
  </si>
  <si>
    <t>NSNW001363-R000</t>
  </si>
  <si>
    <t>S0 손잡이 SV(로고 X)</t>
  </si>
  <si>
    <t>NSNW001392-R000</t>
  </si>
  <si>
    <t>라스텍스 케이싱 15T (STSGNS0000290)</t>
  </si>
  <si>
    <t>(주)퍼니엠</t>
  </si>
  <si>
    <t>NSNW001393-R000</t>
  </si>
  <si>
    <t>라스텍스 라피드 20mm (STSGNS0000291)</t>
  </si>
  <si>
    <t>OPPW001611-R000</t>
  </si>
  <si>
    <t>IV</t>
  </si>
  <si>
    <t>엣지, 2*21 IV</t>
  </si>
  <si>
    <t>2*21 (칠성)</t>
  </si>
  <si>
    <t>LT</t>
  </si>
  <si>
    <t>엣지,평 2*21 LT</t>
  </si>
  <si>
    <t>2*21*0</t>
  </si>
  <si>
    <t>NCC</t>
  </si>
  <si>
    <t>엣지, 2*21 NCC (밀레르게)</t>
  </si>
  <si>
    <t>2*21</t>
  </si>
  <si>
    <t>OAT</t>
  </si>
  <si>
    <t>RM</t>
  </si>
  <si>
    <t>엣지,ABS 2*21 SP (엠보:CS-014M)</t>
  </si>
  <si>
    <t>엣지, 2*21 WW</t>
  </si>
  <si>
    <t>2mmX21mm WW</t>
  </si>
  <si>
    <t>OPPW001613-R000</t>
  </si>
  <si>
    <t>FK</t>
  </si>
  <si>
    <t>엣지,평 1*19 FK (WT)</t>
  </si>
  <si>
    <t>1*19</t>
  </si>
  <si>
    <t>엣지, 1*19 IV</t>
  </si>
  <si>
    <t>1*19 (칠성)</t>
  </si>
  <si>
    <t>LD</t>
  </si>
  <si>
    <t>엣지, 1*19 NCC (밀레르게)</t>
  </si>
  <si>
    <t>엣지,ABS 1*19 SP (엠보:CS-014M)</t>
  </si>
  <si>
    <t>엣지, 1*19 WW</t>
  </si>
  <si>
    <t>1mmX19mm WW</t>
  </si>
  <si>
    <t>태산디자인</t>
  </si>
  <si>
    <t>OPPW001614-R000</t>
  </si>
  <si>
    <t>엣지, 1*33 WW</t>
  </si>
  <si>
    <t>1mmX33mm WW</t>
  </si>
  <si>
    <t>OPPW001615-R000</t>
  </si>
  <si>
    <t>BI</t>
  </si>
  <si>
    <t>엣지, 평 2*33 BI</t>
  </si>
  <si>
    <t>가온기업</t>
  </si>
  <si>
    <t>2*33</t>
  </si>
  <si>
    <t>미래NC</t>
  </si>
  <si>
    <t>CC</t>
  </si>
  <si>
    <t>OCY</t>
  </si>
  <si>
    <t>OHN</t>
  </si>
  <si>
    <t xml:space="preserve">엣지,ABS 2*33 OHN (엠보:CS-023M) </t>
  </si>
  <si>
    <t>RCN</t>
  </si>
  <si>
    <t>엣지, 평 2*33 (신형WW)</t>
  </si>
  <si>
    <t>2MM*33MM</t>
  </si>
  <si>
    <t>OPPW001618-R000</t>
  </si>
  <si>
    <t>엣지,평 1*21 BI</t>
  </si>
  <si>
    <t>1MM*21MM</t>
  </si>
  <si>
    <t>엣지, 1*21 IV</t>
  </si>
  <si>
    <t>1*21 (칠성)</t>
  </si>
  <si>
    <t>KAP</t>
  </si>
  <si>
    <t>1*21*0</t>
  </si>
  <si>
    <t>1*21</t>
  </si>
  <si>
    <t>OS</t>
  </si>
  <si>
    <t>엣지,평 1*21 OS (WT)</t>
  </si>
  <si>
    <t>엣지,ABS 1*21 SP (엠보:CS-014M)</t>
  </si>
  <si>
    <t>엣지, 1*21 WW</t>
  </si>
  <si>
    <t>1mmX21mm WW</t>
  </si>
  <si>
    <t>OPPW001623-R000</t>
  </si>
  <si>
    <t>BE</t>
  </si>
  <si>
    <t>엣지,평 1*26 BI</t>
  </si>
  <si>
    <t>1MM*26MM</t>
  </si>
  <si>
    <t>1*26</t>
  </si>
  <si>
    <t>GU</t>
  </si>
  <si>
    <t>엣지, 1*26 IV</t>
  </si>
  <si>
    <t>1*26 (칠성)</t>
  </si>
  <si>
    <t>LL</t>
  </si>
  <si>
    <t>UM</t>
  </si>
  <si>
    <t>엣지,평 1*26 (신형WW) WW</t>
  </si>
  <si>
    <t>OPPW001624-R000</t>
  </si>
  <si>
    <t>엣지,평 2*26 BI</t>
  </si>
  <si>
    <t>2MM*26MM</t>
  </si>
  <si>
    <t>엣지, 평 2*26 CC (밀레르게)</t>
  </si>
  <si>
    <t>보넨스(Bonence)</t>
  </si>
  <si>
    <t>2*26</t>
  </si>
  <si>
    <t>엣지,ABS 2*26 FK (WT)</t>
  </si>
  <si>
    <t>엣지, 2*26 IV</t>
  </si>
  <si>
    <t>2*26 (칠성)</t>
  </si>
  <si>
    <t>엣지, 2*26 LL (밀레르게)</t>
  </si>
  <si>
    <t>2mmX26mm LL</t>
  </si>
  <si>
    <t>엣지,평 2*26 LT</t>
  </si>
  <si>
    <t>2*26*0</t>
  </si>
  <si>
    <t>엣지,ABS 2*26 SP (엠보:CS-014M)</t>
  </si>
  <si>
    <t>엣지, 2*26 WW</t>
  </si>
  <si>
    <t>2mmX26mm WW</t>
  </si>
  <si>
    <t>WWC</t>
  </si>
  <si>
    <t>엣지,평 2*26 WWC</t>
  </si>
  <si>
    <t>OPPW001655-R000</t>
  </si>
  <si>
    <t>엣지,평 2*19 (신형WW)</t>
  </si>
  <si>
    <t>2MM*19MM</t>
  </si>
  <si>
    <t>SO</t>
  </si>
  <si>
    <t>OPPW001711-R000</t>
  </si>
  <si>
    <t>글라이드,통합 50 TS</t>
  </si>
  <si>
    <t>Φ53 * 50</t>
  </si>
  <si>
    <t>OPPW001818-R000</t>
  </si>
  <si>
    <t>H37 손잡이 A GY</t>
  </si>
  <si>
    <t>Φ51*17.2</t>
  </si>
  <si>
    <t>OPPW001848-R000</t>
  </si>
  <si>
    <t>UG</t>
  </si>
  <si>
    <t>펜접시,SP430XN UG</t>
  </si>
  <si>
    <t>358*221.4*37.2</t>
  </si>
  <si>
    <t>OPPW001935-R000</t>
  </si>
  <si>
    <t>홀더,양면 배선덕트(신형) WW</t>
  </si>
  <si>
    <t>155*40.5*37.5</t>
  </si>
  <si>
    <t>OPPW002042-R000</t>
  </si>
  <si>
    <t>FAD 패널스페이서</t>
  </si>
  <si>
    <t>42*30*17.5</t>
  </si>
  <si>
    <t>OPPW002047-R000</t>
  </si>
  <si>
    <t>손잡이,사물함신형</t>
  </si>
  <si>
    <t>커버+걸쇠+나사포함</t>
  </si>
  <si>
    <t>OPPW002049-R000</t>
  </si>
  <si>
    <t>네임플레이트,사물함</t>
  </si>
  <si>
    <t>투명,전면부식</t>
  </si>
  <si>
    <t>OPPW002051-R000</t>
  </si>
  <si>
    <t>손잡이,H9용 GY</t>
  </si>
  <si>
    <t>OPPW002054-R000</t>
  </si>
  <si>
    <t>글라이드,B 볼트포함</t>
  </si>
  <si>
    <t>글라이더+퍼즐높이조절볼트B</t>
  </si>
  <si>
    <t>OPPW002068-R000</t>
  </si>
  <si>
    <t>엣지,평 1*16 (신형WW) WW</t>
  </si>
  <si>
    <t>1MM*16MM</t>
  </si>
  <si>
    <t>OPPW002352-R000</t>
  </si>
  <si>
    <t>화일행거,앞뒷판 P/L D-6용</t>
  </si>
  <si>
    <t>600,700 공용</t>
  </si>
  <si>
    <t>OPPW002353-R000</t>
  </si>
  <si>
    <t>화일행거,측판 P/L (기존,700 공용)</t>
  </si>
  <si>
    <t>기존,700 공용</t>
  </si>
  <si>
    <t>OPPW002355-R000</t>
  </si>
  <si>
    <t>화일행거,가림판 P/L D-6용</t>
  </si>
  <si>
    <t>OPPW002356-R000</t>
  </si>
  <si>
    <t>케이싱,라픽스</t>
  </si>
  <si>
    <t>OPPW002366-R000</t>
  </si>
  <si>
    <t>케이싱,미니픽스 22T용</t>
  </si>
  <si>
    <t>22T용(1공장:W21-3I-193)</t>
  </si>
  <si>
    <t>OPPW002367-R000</t>
  </si>
  <si>
    <t>케이싱,미니픽스 12T용</t>
  </si>
  <si>
    <t>OPPW002370-R000</t>
  </si>
  <si>
    <t>배선캡,22T용</t>
  </si>
  <si>
    <t>Φ68*26.5</t>
  </si>
  <si>
    <t>OPPW002371-R000</t>
  </si>
  <si>
    <t>배선캡,18T용</t>
  </si>
  <si>
    <t>Φ68*22.5</t>
  </si>
  <si>
    <t>OPPW002372-R000</t>
  </si>
  <si>
    <t>배선캡,15T용</t>
  </si>
  <si>
    <t>Φ68*15.5</t>
  </si>
  <si>
    <t>OPPW002373-R000</t>
  </si>
  <si>
    <t>배선캡 5T용</t>
  </si>
  <si>
    <t>Φ68*5.5</t>
  </si>
  <si>
    <t>전선캡,DDT</t>
  </si>
  <si>
    <t>OPPW002378-R000</t>
  </si>
  <si>
    <t>전선캡,FAD 22T용</t>
  </si>
  <si>
    <t>92*52*28.5</t>
  </si>
  <si>
    <t>OPPW002383-R000</t>
  </si>
  <si>
    <t>볼트,높이조절 J시리즈 소</t>
  </si>
  <si>
    <t>Φ22 게티스책장용</t>
  </si>
  <si>
    <t>OPPW002384-R000</t>
  </si>
  <si>
    <t>볼트,높이조절 알투스사양</t>
  </si>
  <si>
    <t>OPPW002387-R000</t>
  </si>
  <si>
    <t>볼트,높이조절 M6*20</t>
  </si>
  <si>
    <t>M6*20</t>
  </si>
  <si>
    <t>OPPW002394-R000</t>
  </si>
  <si>
    <t>볼트,높이조절 CL2X00용 2공장M6사양</t>
  </si>
  <si>
    <t>2공장용</t>
  </si>
  <si>
    <t>OPPW002395-R000</t>
  </si>
  <si>
    <t>피봇부싱</t>
  </si>
  <si>
    <t>OPPW002396-R000</t>
  </si>
  <si>
    <t>GYCLS</t>
  </si>
  <si>
    <t>전선캡,사각 (PD용) _ 몸통:GY / 커버:CLS</t>
  </si>
  <si>
    <t>98*57.5*30.5</t>
  </si>
  <si>
    <t>OPPW002403-R000</t>
  </si>
  <si>
    <t>스토퍼,통합</t>
  </si>
  <si>
    <t>OPPW002404-R000</t>
  </si>
  <si>
    <t>스토퍼,통합 패드</t>
  </si>
  <si>
    <t>OPPW002411-R000</t>
  </si>
  <si>
    <t>청구마개 GY</t>
  </si>
  <si>
    <t>Ø34.6*19</t>
  </si>
  <si>
    <t>OPPW002414-R000</t>
  </si>
  <si>
    <t>홀더,서랍외장상판조립</t>
  </si>
  <si>
    <t>(나비볼트)</t>
  </si>
  <si>
    <t>OPPW002415-R000</t>
  </si>
  <si>
    <t>거치대,PL서랍</t>
  </si>
  <si>
    <t>232.5*19.5*28.5</t>
  </si>
  <si>
    <t>OPPW002418-R000</t>
  </si>
  <si>
    <t>속서랍,탑 400 (INNER 조립)</t>
  </si>
  <si>
    <t>(재생레진적용)INNER 조립입고</t>
  </si>
  <si>
    <t>OPPW002421-R000</t>
  </si>
  <si>
    <t>디바이더,400 (홀더포함) BK</t>
  </si>
  <si>
    <t>322.3*58*11.1</t>
  </si>
  <si>
    <t>OPPW002426-R000</t>
  </si>
  <si>
    <t>서랍,PL (DD1_모니터받침대용)</t>
  </si>
  <si>
    <t>268*198*64.5</t>
  </si>
  <si>
    <t>OPPW002428-R000</t>
  </si>
  <si>
    <t>디바이더 (DD1_모니터받침대용)</t>
  </si>
  <si>
    <t>260.5*40*4.6</t>
  </si>
  <si>
    <t>OPPW002430-R000</t>
  </si>
  <si>
    <t>레일,PL 서랍 (DD1_모니터받침대용) WHT</t>
  </si>
  <si>
    <t>181*10*8</t>
  </si>
  <si>
    <t>OPPW002432-R000</t>
  </si>
  <si>
    <t>WBG</t>
  </si>
  <si>
    <t>범퍼,테이블 프레임</t>
  </si>
  <si>
    <t>21*21*17</t>
  </si>
  <si>
    <t>OPPW002433-R000</t>
  </si>
  <si>
    <t>밴드,SP430X/SP430XN/SP420XS 열쇠</t>
  </si>
  <si>
    <t>400*30*30</t>
  </si>
  <si>
    <t>OPPW002434-R000</t>
  </si>
  <si>
    <t>앞판(중),서랍 SP4303/SP4303N/SP420XS</t>
  </si>
  <si>
    <t>400*144*28.5</t>
  </si>
  <si>
    <t>OPPW002435-R000</t>
  </si>
  <si>
    <t>앞판(대),서랍 SP430X/SP430XN/SP4202S</t>
  </si>
  <si>
    <t>400*291*28.5</t>
  </si>
  <si>
    <t>OPPW002441-R000</t>
  </si>
  <si>
    <t>브라켓,캐스터홀더(GPN용)</t>
  </si>
  <si>
    <t>50*42*20</t>
  </si>
  <si>
    <t>주식회사 인퍼니쳐</t>
  </si>
  <si>
    <t>OPPW002442-R000</t>
  </si>
  <si>
    <t>다리,패널 ASSY WW LF(범퍼포함)</t>
  </si>
  <si>
    <t>62*26*58.7</t>
  </si>
  <si>
    <t>OPPW002443-R000</t>
  </si>
  <si>
    <t>마감캡,코너 WW LF</t>
  </si>
  <si>
    <t>32*26*51.2</t>
  </si>
  <si>
    <t>OPPW002444-R000</t>
  </si>
  <si>
    <t>범퍼,고무 LCD</t>
  </si>
  <si>
    <t>21*21*12.5</t>
  </si>
  <si>
    <t>OPPW002445-R000</t>
  </si>
  <si>
    <t>속서랍,350 BK (DD3_좁은 서랍용)</t>
  </si>
  <si>
    <t>INNER 조립입고</t>
  </si>
  <si>
    <t>OPPW002487-R000</t>
  </si>
  <si>
    <t>캐처,K-PUSH TECH 삽입형자석 LG(피치:19)</t>
  </si>
  <si>
    <t>Φ12*69.8(Italiana Ferramenta)</t>
  </si>
  <si>
    <t>OPPW002927-R000</t>
  </si>
  <si>
    <t>FD15 캐스터 글라이드 WW</t>
  </si>
  <si>
    <t>94.5*40*65</t>
  </si>
  <si>
    <t>OPPW002929-R000</t>
  </si>
  <si>
    <t>FD15 펠트 글라이드 WW</t>
  </si>
  <si>
    <t>43*28.1*32.1(펠트 포함)</t>
  </si>
  <si>
    <t>OPPW004640-R000</t>
  </si>
  <si>
    <t>높이조절볼트 26(M6인서트용) MM</t>
  </si>
  <si>
    <t>제이에스 홈 퍼니처</t>
  </si>
  <si>
    <t>Φ26*28.5</t>
  </si>
  <si>
    <t>OPPW005387-R000</t>
  </si>
  <si>
    <t>BN 글라이드</t>
  </si>
  <si>
    <t>Φ46.93*31</t>
  </si>
  <si>
    <t>OPPW006225-R000</t>
  </si>
  <si>
    <t>커버후드_플랫_5</t>
  </si>
  <si>
    <t>OPPW006226-R000</t>
  </si>
  <si>
    <t>커버후드_플랫_8</t>
  </si>
  <si>
    <t>OPPWED0000034</t>
  </si>
  <si>
    <t>엣지, 1*16 IV</t>
  </si>
  <si>
    <t>1*16 (칠성)</t>
  </si>
  <si>
    <t>OPPWED0000039</t>
  </si>
  <si>
    <t>엣지, 2*19 IV</t>
  </si>
  <si>
    <t>2*19 (칠성)</t>
  </si>
  <si>
    <t>OPPWED0000138</t>
  </si>
  <si>
    <t>NWW</t>
  </si>
  <si>
    <t>엣지,ABS 2*26 NWW (엠보:CS-023M)</t>
  </si>
  <si>
    <t>OPPWED0000237</t>
  </si>
  <si>
    <t>엣지,ABS 1*26 SP (엠보:CS-014M)</t>
  </si>
  <si>
    <t>OPPWED0000242</t>
  </si>
  <si>
    <t>엣지,ABS 2*19 SP (엠보:CS-014M)</t>
  </si>
  <si>
    <t>2*19</t>
  </si>
  <si>
    <t>OPPWED0000329</t>
  </si>
  <si>
    <t>엣지,ABS 2*26 OCY (엠보:CS-023M)</t>
  </si>
  <si>
    <t>OPPWIN0000974</t>
  </si>
  <si>
    <t>속서랍,700 INNER 조립입고 BK (삼성정밀)</t>
  </si>
  <si>
    <t>(재생레진) INNER 조립입고</t>
  </si>
  <si>
    <t>PPGW001483-R000</t>
  </si>
  <si>
    <t>리프트업 소파테이블 사용시 유의사항 스티커</t>
  </si>
  <si>
    <t>107*72</t>
  </si>
  <si>
    <t>STCG001261-R000</t>
  </si>
  <si>
    <t>브라켓,FAD 밴드</t>
  </si>
  <si>
    <t>40*35*35</t>
  </si>
  <si>
    <t>STCG001281-R000</t>
  </si>
  <si>
    <t>철물,L형벽고정</t>
  </si>
  <si>
    <t>60*22*36</t>
  </si>
  <si>
    <t>STCG001283-R000</t>
  </si>
  <si>
    <t>철물,Z형벽고정</t>
  </si>
  <si>
    <t>STCG001308-R000</t>
  </si>
  <si>
    <t>윗판,SP430X</t>
  </si>
  <si>
    <t>546*400*42</t>
  </si>
  <si>
    <t>ZN</t>
  </si>
  <si>
    <t>STCG001323-R000</t>
  </si>
  <si>
    <t>바퀴,안티틸트 53 BK SP430X/SP430XN용</t>
  </si>
  <si>
    <t>144.5*24*38(Φ36)</t>
  </si>
  <si>
    <t>STCG001324-R000</t>
  </si>
  <si>
    <t>걸쇠,프레임</t>
  </si>
  <si>
    <t>SECURITY PEG STEEL</t>
  </si>
  <si>
    <t>STCG001325-R000</t>
  </si>
  <si>
    <t>연결평철,D상판</t>
  </si>
  <si>
    <t>222*96*3</t>
  </si>
  <si>
    <t>STCG001326-R000</t>
  </si>
  <si>
    <t>플레이트,통합 캐스터</t>
  </si>
  <si>
    <t>65*46*4</t>
  </si>
  <si>
    <t>STCG001327-R000</t>
  </si>
  <si>
    <t>타공덕트,D2 수직 668</t>
  </si>
  <si>
    <t>L:668(슈퍼테크 리뉴얼)</t>
  </si>
  <si>
    <t>STCG001329-R000</t>
  </si>
  <si>
    <t>철물,휨보강 1500 CAR</t>
  </si>
  <si>
    <t>1540*80*17</t>
  </si>
  <si>
    <t>STCG001334-R000</t>
  </si>
  <si>
    <t>스페이서,콤비</t>
  </si>
  <si>
    <t>STCG001341-R000</t>
  </si>
  <si>
    <t>밴드,앞판 394 WW</t>
  </si>
  <si>
    <t>394*47*1.6</t>
  </si>
  <si>
    <t>STCG001351-R000</t>
  </si>
  <si>
    <t>플레이트,피봇</t>
  </si>
  <si>
    <t>40*12*11</t>
  </si>
  <si>
    <t>STCG001512-R000</t>
  </si>
  <si>
    <t>키바,400(GPN030X/GPN030XHX용) WH</t>
  </si>
  <si>
    <t>L : 400</t>
  </si>
  <si>
    <t>STCG001513-R000</t>
  </si>
  <si>
    <t>키바,540(SP430X/SP430XN) WH</t>
  </si>
  <si>
    <t>L : 540</t>
  </si>
  <si>
    <t>STCG001688-R000</t>
  </si>
  <si>
    <t>키바,FAD 서랍용</t>
  </si>
  <si>
    <t>L : 469</t>
  </si>
  <si>
    <t>STCG003560-R001</t>
  </si>
  <si>
    <t>힌지, 700 아웃도어 로지카 댐핑_C7I6AE9</t>
  </si>
  <si>
    <t>STCG003562-R001</t>
  </si>
  <si>
    <t>힌지, 700 아웃도어 로지카_C2I6A99</t>
  </si>
  <si>
    <t>STEGHG0000002</t>
  </si>
  <si>
    <t>힌지,S0 CBA2AC9</t>
  </si>
  <si>
    <t>SALICE CBA2AC9</t>
  </si>
  <si>
    <t>STEGHG0000003</t>
  </si>
  <si>
    <t>SALICE (BAPGM39)</t>
  </si>
  <si>
    <t>STEGRL0000001</t>
  </si>
  <si>
    <t>레일,전한 볼 400 INNER</t>
  </si>
  <si>
    <t>주식회사 휴먼하이텍</t>
  </si>
  <si>
    <t>STEGRL0000014</t>
  </si>
  <si>
    <t>레일,3단 측판용 700 BK (삼성정밀)</t>
  </si>
  <si>
    <t>STEGRL0000015</t>
  </si>
  <si>
    <t>레일,3단 속서랍용 700 BK (삼성정밀)</t>
  </si>
  <si>
    <t>새한솔루텍 주식회사</t>
  </si>
  <si>
    <t>INNER</t>
  </si>
  <si>
    <t>STSGWW0000007</t>
  </si>
  <si>
    <t>SALICE-C766AE9</t>
  </si>
  <si>
    <t>STSGWW0000008</t>
  </si>
  <si>
    <t>SALICE-C766PE9</t>
  </si>
  <si>
    <t>STSW000175-R000</t>
  </si>
  <si>
    <t>스텝스프링 #20(L:248) TS</t>
  </si>
  <si>
    <t>SNNAO 248 #20 G20</t>
  </si>
  <si>
    <t>STSW000347-R001</t>
  </si>
  <si>
    <t>옷걸이,310</t>
  </si>
  <si>
    <t>307.5*32*62(죠이)</t>
  </si>
  <si>
    <t>W21-1D-788</t>
  </si>
  <si>
    <t>BLK</t>
  </si>
  <si>
    <t>실린더,개스 3KG</t>
  </si>
  <si>
    <t>3KG (YJT)</t>
  </si>
  <si>
    <t>W21-1H-634A</t>
  </si>
  <si>
    <t>플레이트,헤드보드연결(97*52*2) TS</t>
  </si>
  <si>
    <t>97*52*2</t>
  </si>
  <si>
    <t>W21-1H-661</t>
  </si>
  <si>
    <t>전동각도조절유닛 IIV (HSKD0112PN,HSKD0212PN)</t>
  </si>
  <si>
    <t>417*224*60</t>
  </si>
  <si>
    <t>W21-1R-00002</t>
  </si>
  <si>
    <t>레일,한독 350 속서랍용 BK (DD3_좁은 서랍용)</t>
  </si>
  <si>
    <t>W21-1R-115</t>
  </si>
  <si>
    <t>레일,탑일반 700 속서랍용</t>
  </si>
  <si>
    <t>W21-1R-805A</t>
  </si>
  <si>
    <t>레일,JW-450 250  속서랍용</t>
  </si>
  <si>
    <t>GYM</t>
  </si>
  <si>
    <t>W21-3E-3457A</t>
  </si>
  <si>
    <t>엣지,평 2*21 BI</t>
  </si>
  <si>
    <t>2MM*21MM</t>
  </si>
  <si>
    <t>W21-3I-823</t>
  </si>
  <si>
    <t>137*63.5*23.2</t>
  </si>
  <si>
    <t>W21-5M-807</t>
  </si>
  <si>
    <t>거울,옷장 3t*145*411</t>
  </si>
  <si>
    <t>145*411*3T</t>
  </si>
  <si>
    <t>W21-5M-810</t>
  </si>
  <si>
    <t>거울,아크릴</t>
  </si>
  <si>
    <t>170*115*1T</t>
  </si>
  <si>
    <t>W22-1D-830</t>
  </si>
  <si>
    <t>손잡이,D9 BG (P:128)</t>
  </si>
  <si>
    <t>CHB001</t>
  </si>
  <si>
    <t>W22-1K-218B</t>
  </si>
  <si>
    <t>키,개폐표시 마스터</t>
  </si>
  <si>
    <t>W22-1R-472</t>
  </si>
  <si>
    <t>레일,전한 볼 600 INNER</t>
  </si>
  <si>
    <t>GG</t>
  </si>
  <si>
    <t>W22-3I-368</t>
  </si>
  <si>
    <t>글라이드,펠트 PL20mm</t>
  </si>
  <si>
    <t>650.20.720(헤펠레)</t>
  </si>
  <si>
    <t>W22-3I-433</t>
  </si>
  <si>
    <t>힌지,덕트 사출부</t>
  </si>
  <si>
    <t>(주)에이스힌지텍</t>
  </si>
  <si>
    <t>W23-1D-210</t>
  </si>
  <si>
    <t>플랩스테이,L-160</t>
  </si>
  <si>
    <t>헤펠레(356.86.713)</t>
  </si>
  <si>
    <t>W23-1D-323</t>
  </si>
  <si>
    <t>손잡이,H6 투명</t>
  </si>
  <si>
    <t>PAMAR-MN789A128</t>
  </si>
  <si>
    <t>W23-1D-325</t>
  </si>
  <si>
    <t>손잡이,H6 주황색</t>
  </si>
  <si>
    <t>W23-1D-336</t>
  </si>
  <si>
    <t>손잡이,U 유리용</t>
  </si>
  <si>
    <t>PAMAR-PO341O*E103</t>
  </si>
  <si>
    <t>Hettich</t>
  </si>
  <si>
    <t>W23-1H-201</t>
  </si>
  <si>
    <t>힌지,신형</t>
  </si>
  <si>
    <t>SALICE C266A99</t>
  </si>
  <si>
    <t>W23-1H-204</t>
  </si>
  <si>
    <t>힌지,인도어SALICE</t>
  </si>
  <si>
    <t>SALICE C267P99</t>
  </si>
  <si>
    <t>W23-1H-207A</t>
  </si>
  <si>
    <t>MP,S0 힌지 H=6</t>
  </si>
  <si>
    <t>BARGR69 (SALICE H=6)</t>
  </si>
  <si>
    <t>W23-1H-210A</t>
  </si>
  <si>
    <t>SALICE H=6(BAPGR69)</t>
  </si>
  <si>
    <t>W23-1H-303</t>
  </si>
  <si>
    <t>캡,유리힌지 26</t>
  </si>
  <si>
    <t>SALICE P2CBA09</t>
  </si>
  <si>
    <t>W23-1H-400</t>
  </si>
  <si>
    <t>힌지,SALICE110 JT33XX용</t>
  </si>
  <si>
    <t>Unspring Hinge(C264A99)</t>
  </si>
  <si>
    <t>W23-1H-602</t>
  </si>
  <si>
    <t>힌지,ZYSA</t>
  </si>
  <si>
    <t>W23-1R-519L</t>
  </si>
  <si>
    <t>레일,헤티댐핑 25HD/450L</t>
  </si>
  <si>
    <t>W23-1R-519R</t>
  </si>
  <si>
    <t>레일,헤티댐핑 25HD/450R</t>
  </si>
  <si>
    <t>W23-1R-520L</t>
  </si>
  <si>
    <t>레일,헤티푸쉬 25HP/450L</t>
  </si>
  <si>
    <t>Quadro 25HP/450(L)</t>
  </si>
  <si>
    <t>W23-1R-520R</t>
  </si>
  <si>
    <t>레일,헤티푸쉬 25HP/450R</t>
  </si>
  <si>
    <t>Quadro 25HP/450(R)</t>
  </si>
  <si>
    <t>W23-1R-521L</t>
  </si>
  <si>
    <t>레일,헤티댐핑 25HD 350L</t>
  </si>
  <si>
    <t>Quadro 25HD/350(L) (904.593.0)</t>
  </si>
  <si>
    <t>W23-1R-521R</t>
  </si>
  <si>
    <t>레일,헤티댐핑 25HD 350R</t>
  </si>
  <si>
    <t>Quadro 25HD/350(R) (904.594.1)</t>
  </si>
  <si>
    <t>W23-1R-522L</t>
  </si>
  <si>
    <t>레일,헤티 25HD 400L</t>
  </si>
  <si>
    <t>Quadro 25HD/400(L)</t>
  </si>
  <si>
    <t>W23-1R-522R</t>
  </si>
  <si>
    <t>레일,헤티 25HD 400R</t>
  </si>
  <si>
    <t>Quadro 25HD/400(R)</t>
  </si>
  <si>
    <t>W23-1R-523L</t>
  </si>
  <si>
    <t>레일,헤티푸쉬 25HP/350L</t>
  </si>
  <si>
    <t>Quadro 25HP/350(L)</t>
  </si>
  <si>
    <t>W23-1R-523R</t>
  </si>
  <si>
    <t>레일,헤티푸쉬 25HP/350R</t>
  </si>
  <si>
    <t>Quadro 25HP/350(R)</t>
  </si>
  <si>
    <t>W23-3I-101</t>
  </si>
  <si>
    <t>고리,SL</t>
  </si>
  <si>
    <t>ACTIVATOR PLASTIC</t>
  </si>
  <si>
    <t>W23-3I-102</t>
  </si>
  <si>
    <t>걸쇠,SL</t>
  </si>
  <si>
    <t>ROD LIFT COMPONENT P</t>
  </si>
  <si>
    <t>W23-3I-311</t>
  </si>
  <si>
    <t>캐스터,나일론 40_14.7 핀,일반</t>
  </si>
  <si>
    <t>(주)시디즈안성</t>
  </si>
  <si>
    <t>W23-3I-311A</t>
  </si>
  <si>
    <t>캐스터,나일론 40_14.7 핀,스토퍼</t>
  </si>
  <si>
    <t>W23-3I-316A</t>
  </si>
  <si>
    <t>TSBK</t>
  </si>
  <si>
    <t>캐스터,나일론 75 플레이트대,스토퍼</t>
  </si>
  <si>
    <t>W23-3I-317A</t>
  </si>
  <si>
    <t>캐스터,나일론 75 플레이트대,일반</t>
  </si>
  <si>
    <t>W23-3I-321</t>
  </si>
  <si>
    <t>W23-3I-321A</t>
  </si>
  <si>
    <t>W23-3I-325A</t>
  </si>
  <si>
    <t>WHT</t>
  </si>
  <si>
    <t>케이싱,라픽스 15t용 WHT (헤펠레)</t>
  </si>
  <si>
    <t>263.10.703 (헤펠레)</t>
  </si>
  <si>
    <t>W24-1H-117</t>
  </si>
  <si>
    <t>스페이서,힌지</t>
  </si>
  <si>
    <t>4*6*22</t>
  </si>
  <si>
    <t>성형재료</t>
  </si>
  <si>
    <t>W51-0L-00018A</t>
  </si>
  <si>
    <t>접착,MDF E0 18t 국산 LPM/O GU (WT)</t>
  </si>
  <si>
    <t>4*8*18</t>
  </si>
  <si>
    <t>W51-0L-00019B</t>
  </si>
  <si>
    <t>접착,PB E0 28t 수입 LPM/O GU (WT)</t>
  </si>
  <si>
    <t>4*8*28</t>
  </si>
  <si>
    <t>W51-0L-00024</t>
  </si>
  <si>
    <t>접착,PB E0 22t 수입 LPM/O KAP (WT)</t>
  </si>
  <si>
    <t>4*8*22</t>
  </si>
  <si>
    <t>W51-0L-00024C</t>
  </si>
  <si>
    <t>접착,PB E0 22t 국산 LPM/O KAP(WT)</t>
  </si>
  <si>
    <t>W51-0L-00048A</t>
  </si>
  <si>
    <t>접착,PB E0 22t 수입 LPM/O OS</t>
  </si>
  <si>
    <t>W51-0L-00050</t>
  </si>
  <si>
    <t>접착,MDF E0 18t 국산 LPM/O OS</t>
  </si>
  <si>
    <t>TL</t>
  </si>
  <si>
    <t>4*8*12</t>
  </si>
  <si>
    <t>W51-0L-00082</t>
  </si>
  <si>
    <t>FIVGYM</t>
  </si>
  <si>
    <t>접착,PB E0 18t 수입 LPM/O FIV/GYM</t>
  </si>
  <si>
    <t>W51-0L-00088</t>
  </si>
  <si>
    <t>DN</t>
  </si>
  <si>
    <t>W51-0L-00095</t>
  </si>
  <si>
    <t>접착,PB E0 18t 수입 LPM/O FK (WT)</t>
  </si>
  <si>
    <t>4*5.3*28</t>
  </si>
  <si>
    <t>W51-0L-0020Y</t>
  </si>
  <si>
    <t>접착,PB E0 22t 국산 LPM/O CC(WT)</t>
  </si>
  <si>
    <t>4*6*22 (WT)</t>
  </si>
  <si>
    <t>W51-0L-1044C</t>
  </si>
  <si>
    <t>접착,SPB E0 22t 국산 LPM/O IV</t>
  </si>
  <si>
    <t>4*8*22 (KD0076U)</t>
  </si>
  <si>
    <t>W51-0L-1106C</t>
  </si>
  <si>
    <t>접착,PB E0 22t 국산 LPM/O IV</t>
  </si>
  <si>
    <t>4*6*22 (KD0076U)</t>
  </si>
  <si>
    <t>W51-0L-1121A</t>
  </si>
  <si>
    <t>접착,PB E0 12t 수입 LPM/O IV</t>
  </si>
  <si>
    <t>4'*8'*12 (KD0076U)</t>
  </si>
  <si>
    <t>W51-0L-1152B</t>
  </si>
  <si>
    <t>접착,PB E0 28t 국산 LPM/O WW</t>
  </si>
  <si>
    <t>4*8*28T (평량:80g)</t>
  </si>
  <si>
    <t>접착,PB E0 15t 수입 LPM/O LT</t>
  </si>
  <si>
    <t>4*8*15T</t>
  </si>
  <si>
    <t>W51-0L-1267</t>
  </si>
  <si>
    <t>접착,PB E0 18t 수입 LPM/O WW</t>
  </si>
  <si>
    <t>4*8*18T</t>
  </si>
  <si>
    <t>접착,PB E0 15t 수입 LPM/O MM</t>
  </si>
  <si>
    <t>4*8*15</t>
  </si>
  <si>
    <t>접착,PB E0 18t 수입 LPM/O UA</t>
  </si>
  <si>
    <t>W51-0L-1319V</t>
  </si>
  <si>
    <t>접착,MDF E0 18t 국산 LPM/O IV</t>
  </si>
  <si>
    <t>4*8*18 (KD0076U)</t>
  </si>
  <si>
    <t>W51-0L-1319X</t>
  </si>
  <si>
    <t>접착,PB E0 18t 수입 LPM/O IV</t>
  </si>
  <si>
    <t>W51-0L-1410</t>
  </si>
  <si>
    <t>접착,PB E0 22t 수입 LPM/O LT</t>
  </si>
  <si>
    <t>4*8*22T</t>
  </si>
  <si>
    <t>4*8*28T(WT)</t>
  </si>
  <si>
    <t>W51-0L-1553A</t>
  </si>
  <si>
    <t>접착,SPB E0 28t 국산 LPM/O WW</t>
  </si>
  <si>
    <t>W51-0L-1751A</t>
  </si>
  <si>
    <t>접착,PB E0 12t 국산 LPM/O WW</t>
  </si>
  <si>
    <t>4*8*12T (평량:80g)</t>
  </si>
  <si>
    <t>접착,SPB E0 22t 국산 LPM/O WW</t>
  </si>
  <si>
    <t>4*8*22 (평량:80g)</t>
  </si>
  <si>
    <t>W51-0L-710</t>
  </si>
  <si>
    <t>접착,PB E0 15t 수입 LPM/O WW</t>
  </si>
  <si>
    <t>W51-0L-716B</t>
  </si>
  <si>
    <t>접착,PB E0 15t 수입 LPM/O IV</t>
  </si>
  <si>
    <t>4*8*15 (KD0076U)</t>
  </si>
  <si>
    <t>W51-0L-804E</t>
  </si>
  <si>
    <t>접착,PB E0 12t 국산 LPM/O 통합BK</t>
  </si>
  <si>
    <t>접착,PB E0 22t 국산 LPM/O FIV</t>
  </si>
  <si>
    <t>W51-0L-808D</t>
  </si>
  <si>
    <t>W51-0L-809A</t>
  </si>
  <si>
    <t>ML</t>
  </si>
  <si>
    <t>접착,PB E0 18t 수입 LPM/O ML (WT)</t>
  </si>
  <si>
    <t>18T 4'*8' (E0)</t>
  </si>
  <si>
    <t>W51-0L-811F</t>
  </si>
  <si>
    <t>LUW</t>
  </si>
  <si>
    <t>접착,PB E0 15t 수입 LPM/O LUW (WT)</t>
  </si>
  <si>
    <t>W51-0L-811G</t>
  </si>
  <si>
    <t>접착,PB E0 18t 수입 LPM/O LUW (WT)</t>
  </si>
  <si>
    <t>W51-0L-813D</t>
  </si>
  <si>
    <t>접착,PB E0 28t 수입 LPM/0 GYM (WT)</t>
  </si>
  <si>
    <t>W51-0L-867E</t>
  </si>
  <si>
    <t>접착,PB E0 22t 수입 LPM/O IV</t>
  </si>
  <si>
    <t>DGM</t>
  </si>
  <si>
    <t>4*6*22 (평량:80g)</t>
  </si>
  <si>
    <t>BGM</t>
  </si>
  <si>
    <t>W52-0L-0044</t>
  </si>
  <si>
    <t>접착,PB E0 15t 수입 LPM/O RCN (UK)</t>
  </si>
  <si>
    <t>4*8*15 (IP 049118/018)</t>
  </si>
  <si>
    <t>W52-0L-1113</t>
  </si>
  <si>
    <t>접착,PB E0 15T 수입 LPM/O NCC (WT)</t>
  </si>
  <si>
    <t>W52-0L-1115</t>
  </si>
  <si>
    <t>접착,PB E0 22T 수입 LPM/O NCC (WT)</t>
  </si>
  <si>
    <t>W52-0L-1121</t>
  </si>
  <si>
    <t>접착,PB E0 15T 수입 LPM/O GG (WT)</t>
  </si>
  <si>
    <t>W52-0L-1122</t>
  </si>
  <si>
    <t>접착,PB E0 22T 수입 LPM/O GG (WT)</t>
  </si>
  <si>
    <t>W52-0L-1124</t>
  </si>
  <si>
    <t>접착,PB E0 22T 수입 LPM/O WP/HBR (WT)</t>
  </si>
  <si>
    <t>W52-0L-1125</t>
  </si>
  <si>
    <t>HBR</t>
  </si>
  <si>
    <t>접착,PB E0 15T 수입 LPM/O HBR (WT)</t>
  </si>
  <si>
    <t>W52-0L-1126</t>
  </si>
  <si>
    <t>접착,PB E0 18T 수입 LPM/O HBR (WT)</t>
  </si>
  <si>
    <t>W52-0L-1138</t>
  </si>
  <si>
    <t>접착,PB E0 18T 수입 LPM/O GG (WT)</t>
  </si>
  <si>
    <t>W52-0L-1140</t>
  </si>
  <si>
    <t>접착,PB E0 28T 수입 LPM/0 GG (WT)</t>
  </si>
  <si>
    <t>4*6*18</t>
  </si>
  <si>
    <t>W52-0L-1174</t>
  </si>
  <si>
    <t>W52-0L-1206</t>
  </si>
  <si>
    <t>접착,PB E0 12t 국산 LPM/O GYC (FB1)</t>
  </si>
  <si>
    <t>4*8*12 프린테크-TPV2609</t>
  </si>
  <si>
    <t>W52-0L-1207</t>
  </si>
  <si>
    <t>접착,PB E0 15t 수입 LPM/O GYC (FB1)</t>
  </si>
  <si>
    <t>4*8*15 프린테크-TPV2609</t>
  </si>
  <si>
    <t>W52-0L-1208</t>
  </si>
  <si>
    <t>접착,PB E0 22t 수입 LPM/O GYC (FB1)</t>
  </si>
  <si>
    <t>4*8*22 프린테크-TPV2609</t>
  </si>
  <si>
    <t>W52-0L-1237</t>
  </si>
  <si>
    <t>WP</t>
  </si>
  <si>
    <t>접착,PB E0 18t 수입 LPM/O WP</t>
  </si>
  <si>
    <t>W52-0L-1245</t>
  </si>
  <si>
    <t>접착,PB E0 28t 수입 LPM/0 NCC(WT)</t>
  </si>
  <si>
    <t>W52-0L-1253</t>
  </si>
  <si>
    <t>접착,PB E0 22T 수입 LPM/O GU(WT)</t>
  </si>
  <si>
    <t>W52-0L-1255</t>
  </si>
  <si>
    <t>접착,PB E0 12T 수입 LPM/O LT</t>
  </si>
  <si>
    <t>W52-0L-1258</t>
  </si>
  <si>
    <t>접착,PB E0 22T 수입 LPM/O LL(WT)</t>
  </si>
  <si>
    <t>W52-0L-1260</t>
  </si>
  <si>
    <t>접착,PB E0 22T 수입 LPM/O KAP(WT)</t>
  </si>
  <si>
    <t>W52-0L-1261</t>
  </si>
  <si>
    <t>접착,PB E0 12T 수입 LPM/O BK</t>
  </si>
  <si>
    <t>주식회사 아름다운숲</t>
  </si>
  <si>
    <t>W52-0L-1262</t>
  </si>
  <si>
    <t>접착,PB E0 22T 수입 LPM/O WW</t>
  </si>
  <si>
    <t>W52-0L-1335</t>
  </si>
  <si>
    <t>접착,PB E0 22t 수입 LPM/0 GYM(WT)</t>
  </si>
  <si>
    <t>W52-0L-1343</t>
  </si>
  <si>
    <t>접착,PB E0 12t 수입 LPM/0 OS (WT)</t>
  </si>
  <si>
    <t>W52-0L-1344</t>
  </si>
  <si>
    <t>접착,PB E0 12t 수입 LPM/0 WW</t>
  </si>
  <si>
    <t>접착,SPB E0 18t 국산 LPM/O IV</t>
  </si>
  <si>
    <t>WDPGBL0000550</t>
  </si>
  <si>
    <t>접착,PB E0 18t 수입 LPM/0 WW</t>
  </si>
  <si>
    <t>1830*1220*18(4'*6'*18)</t>
  </si>
  <si>
    <t>4*8*4.5</t>
  </si>
  <si>
    <t>WDPGBL0001040</t>
  </si>
  <si>
    <t>접착,MDF E0 15t 국산 LPM/O GYM(WT)</t>
  </si>
  <si>
    <t>4'*8'*22</t>
  </si>
  <si>
    <t>WDPGBL0004928</t>
  </si>
  <si>
    <t>접착,PB E0 18t 수입 NCC/BGM (WT)</t>
  </si>
  <si>
    <t>WDPGBL0005625</t>
  </si>
  <si>
    <t>접착,PB E0 28t 수입 LPM/O GG (WT)</t>
  </si>
  <si>
    <t>WDPGBL0005845</t>
  </si>
  <si>
    <t>접착,PB E0 15t 수입 LPM/0 SAND(WT) _ 프린테크</t>
  </si>
  <si>
    <t>4*8*15 프린테크</t>
  </si>
  <si>
    <t>WDPGBL0009266</t>
  </si>
  <si>
    <t>접착,MDF E0 15t 국산 LPM/0 SAND(WT) _ 프린테크</t>
  </si>
  <si>
    <t>WDWP000140-R000</t>
  </si>
  <si>
    <t>접착,SPB E0 18t 국산 LPM/O WW</t>
  </si>
  <si>
    <t>4*8*18T (평량:80g)</t>
  </si>
  <si>
    <t>WDWP000141-R000</t>
  </si>
  <si>
    <t>WDWP000142-R000</t>
  </si>
  <si>
    <t>접착,SPB E0 22t 국산 LPM/O KAP (WT)</t>
  </si>
  <si>
    <t>접착,SPB E0 22t 국산 LPM/O OAT (SM3)</t>
  </si>
  <si>
    <t>4'×8'×22</t>
  </si>
  <si>
    <t>WDWP000145-R000</t>
  </si>
  <si>
    <t>접착,MDF E0 18T LPM/0 GYM(WT)</t>
  </si>
  <si>
    <t>접착,MDF E0 18t 국산 LPM/O LD(WT)</t>
  </si>
  <si>
    <t>NGYS</t>
  </si>
  <si>
    <t>4'*8'*18(프린테크 SGY2280)</t>
  </si>
  <si>
    <t>WDWP000180-R000</t>
  </si>
  <si>
    <t>접착,SPB E0 15T 국산 LPM/O SP</t>
  </si>
  <si>
    <t>WDWP000258-R000</t>
  </si>
  <si>
    <t>접착,PB E0 15t 수입 LPM/O CC (WT)</t>
  </si>
  <si>
    <t>CZ</t>
  </si>
  <si>
    <t>접착,PB E0 15t 수입 LPM/0 CZ (UK)</t>
  </si>
  <si>
    <t>4'*8'*15</t>
  </si>
  <si>
    <t>접착,PB E0 15t 수입 LPM/O FIV</t>
  </si>
  <si>
    <t>접착,PB E0 15t 수입 LPM/O GU (WT)</t>
  </si>
  <si>
    <t>접착,PB E0 15t 수입 LPM/O GYM (WT)</t>
  </si>
  <si>
    <t>HW</t>
  </si>
  <si>
    <t>접착,PB E0 15t 수입 LPM/O LD (WT)</t>
  </si>
  <si>
    <t>MAC</t>
  </si>
  <si>
    <t>접착,PB E0 15t 수입 LPM/O MAC (UK)</t>
  </si>
  <si>
    <t>4'*8'*15mm</t>
  </si>
  <si>
    <t>접착,PB E0 15t 수입 LPM/O ML (WT)</t>
  </si>
  <si>
    <t>NBK</t>
  </si>
  <si>
    <t>접착,PB E0 15t 수입 LPM/O NBK (UK)</t>
  </si>
  <si>
    <t>접착,PB E0 15t 수입 LPM/O NCC (WT)</t>
  </si>
  <si>
    <t>NCGYM</t>
  </si>
  <si>
    <t>접착,PB E0 15T 수입 LPM/O NCGYM (UK)</t>
  </si>
  <si>
    <t>4'*8'*15t</t>
  </si>
  <si>
    <t>NK</t>
  </si>
  <si>
    <t>접착,PB E0 15t 수입 LPM/0 NK (UK)</t>
  </si>
  <si>
    <t>4'×8'×15</t>
  </si>
  <si>
    <t>접착,PB E0 15t 수입 LPM/O NWW (UK)</t>
  </si>
  <si>
    <t>접착,PB E0 15t 수입 LPM/0 OAT (SM3)</t>
  </si>
  <si>
    <t>4'*8'*15(프린테크 SGY2280)</t>
  </si>
  <si>
    <t>접착,PB E0 15t 수입 LPM/O OCY (UK)</t>
  </si>
  <si>
    <t>접착,PB E0 15t 수입 LPM/O OS</t>
  </si>
  <si>
    <t>접착,PB E0 15t 수입 LPM/0 SO (UK)</t>
  </si>
  <si>
    <t>접착,PB E0 15t 수입 LPM/O SP (WT)</t>
  </si>
  <si>
    <t>프린테크엘피엠(아이엠사업부)</t>
  </si>
  <si>
    <t>접착,PB E0 15t 수입 LPM/O UM</t>
  </si>
  <si>
    <t>4*8*15T(WT)</t>
  </si>
  <si>
    <t>접착,PB E0 15t 수입 LPM/O WP (WT)</t>
  </si>
  <si>
    <t>4*8*15 (평량:80g)</t>
  </si>
  <si>
    <t>WDWP000260-R000</t>
  </si>
  <si>
    <t>BRC</t>
  </si>
  <si>
    <t>접착,PB E0 12t 수입 LPM/O BRC (SM3)</t>
  </si>
  <si>
    <t>4'*8'*12</t>
  </si>
  <si>
    <t>접착,PB E0 12t 수입 LPM/O FK(WT)</t>
  </si>
  <si>
    <t>접착,PB E0 12t 수입 LPM/O SP (WT)</t>
  </si>
  <si>
    <t>WDWP000262-R000</t>
  </si>
  <si>
    <t>접착,PB E0 28t 수입 LPM/O FK (WT)</t>
  </si>
  <si>
    <t>접착,PB E0 28t 수입 LPM/O MAC (UK)</t>
  </si>
  <si>
    <t>4'*8'*28mm</t>
  </si>
  <si>
    <t>접착,PB E0 28t 수입 LPM/O ML</t>
  </si>
  <si>
    <t>접착,PB E0 28t 수입 LPM/O NGYS(DS)</t>
  </si>
  <si>
    <t>4'×8'×28</t>
  </si>
  <si>
    <t>접착,PB E0 28t 수입 LPM/0 NK (UK)</t>
  </si>
  <si>
    <t>4'*8'*28</t>
  </si>
  <si>
    <t>접착,PB E0 28t 수입 LPM/O RCN (UK)</t>
  </si>
  <si>
    <t>2440*1220*28</t>
  </si>
  <si>
    <t>접착,PB E0 28t 수입 LPM/O UA</t>
  </si>
  <si>
    <t>접착,PB E0 28t 수입 LPM/O WW</t>
  </si>
  <si>
    <t>4*8*28T(평량 80g)</t>
  </si>
  <si>
    <t>(주)아이.씨.씨</t>
  </si>
  <si>
    <t>WDWP000266-R000</t>
  </si>
  <si>
    <t>BCY</t>
  </si>
  <si>
    <t>접착,PB E0 22t 수입 LPM/0 BCY (SM4)</t>
  </si>
  <si>
    <t>접착,PB E0 22t 수입 LPM/O BE</t>
  </si>
  <si>
    <t>접착,PB E0 22t 수입 LPM/O 통합BK</t>
  </si>
  <si>
    <t>접착,PB E0 22t 수입 LPM/O CC (WT)</t>
  </si>
  <si>
    <t>CGYM</t>
  </si>
  <si>
    <t>접착,PB E0 22t 수입 LPM/0 CZ (UK)</t>
  </si>
  <si>
    <t>접착,PB E0 22t 수입 LPM/O FIV</t>
  </si>
  <si>
    <t>접착,PB E0 22t 수입 LPM/O FK (WT)</t>
  </si>
  <si>
    <t>접착,PB E0 22t 수입 LPM/O GU (WT)</t>
  </si>
  <si>
    <t>접착,PB E0 22t 수입 LPM/O GYM (WT)</t>
  </si>
  <si>
    <t>접착,PB E0 22t 수입 LPM/O LD (WT)</t>
  </si>
  <si>
    <t>접착,PB E0 22t 수입 LPM/O LL (WT)</t>
  </si>
  <si>
    <t>접착,PB E0 22t 수입 LPM/O LUW (WT)</t>
  </si>
  <si>
    <t>접착,PB E0 22t 수입 LPM/O MAC (UK)</t>
  </si>
  <si>
    <t>4'*8'*22mm</t>
  </si>
  <si>
    <t>접착,PB E0 22t 수입 LPM/O ML (WT)</t>
  </si>
  <si>
    <t>22T 4'*8' (E0)</t>
  </si>
  <si>
    <t>MRB</t>
  </si>
  <si>
    <t>접착,PB E0 22t 수입 LPM/O NCC (WT)</t>
  </si>
  <si>
    <t>접착,PB E0 22t 수입 LPM/0 NK (UK)</t>
  </si>
  <si>
    <t>접착,PB E0 22t 수입 LPM/0 OCY (UK)</t>
  </si>
  <si>
    <t>접착,PB E0 22t 수입 LPM/O RCN (UK)</t>
  </si>
  <si>
    <t>접착,PB E0 22t 수입 LPM/O SO(UK)</t>
  </si>
  <si>
    <t>접착,PB E0 22t 수입 LPM/O SP (WT)</t>
  </si>
  <si>
    <t>접착,PB E0 22t 수입 LPM/O UA</t>
  </si>
  <si>
    <t>접착,PB E0 22t 수입 LPM/O WW</t>
  </si>
  <si>
    <t>WDWP000267-R000</t>
  </si>
  <si>
    <t>접착,SPB E0 22t 국산 LPM/O KAP(WT)</t>
  </si>
  <si>
    <t>4'*6'*22</t>
  </si>
  <si>
    <t>접착,SPB E0 22t 국산 LPM/O SP (WT) 4*6</t>
  </si>
  <si>
    <t>WDWP000269-R000</t>
  </si>
  <si>
    <t>WDWP000274-R000</t>
  </si>
  <si>
    <t>접착,PB E0 18t 수입 LPM/O BE</t>
  </si>
  <si>
    <t>접착,PB E0 18t 수입 LPM/O 통합BK</t>
  </si>
  <si>
    <t>접착,PB E0 18t 수입 LPM/0 CZ (UK)</t>
  </si>
  <si>
    <t>4'*8'*18</t>
  </si>
  <si>
    <t>접착,PB E0 18t 수입 LPM/O FIV</t>
  </si>
  <si>
    <t>접착,PB E0 18t 수입 LPM/O GU (WT)</t>
  </si>
  <si>
    <t>접착,PB E0 18t 수입 LPM/O GYM (WT)</t>
  </si>
  <si>
    <t>접착,PB E0 18t 수입 LPM/O LT</t>
  </si>
  <si>
    <t>접착,PB E0 18t 수입 LPM/O MAC (UK)</t>
  </si>
  <si>
    <t>4'*8'*18mm</t>
  </si>
  <si>
    <t>접착,PB E0 18t 수입 LPM/O MRB(UK)</t>
  </si>
  <si>
    <t>접착,PB E0 18t 수입 LPM/O NBK (UK)</t>
  </si>
  <si>
    <t>접착,PB E0 18t 수입 LPM/O NCC (WT)</t>
  </si>
  <si>
    <t>접착,PB E0 18T 수입 LPM/O NCGYM (UK)</t>
  </si>
  <si>
    <t>4'*8'*18t</t>
  </si>
  <si>
    <t>접착,PB E0 18t 수입 LPM/0 NGYS (DS)</t>
  </si>
  <si>
    <t>접착,PB E0 18t 수입 LPM/0 NK (UK)</t>
  </si>
  <si>
    <t>4'×8'×18</t>
  </si>
  <si>
    <t>접착,PB E0 18t 수입 LPM/O NWW (UK)</t>
  </si>
  <si>
    <t>접착,PB E0 18t 수입 LPM/0 OAT (SM3)</t>
  </si>
  <si>
    <t>접착,PB E0 18t 수입 LPM/O OS (WT)</t>
  </si>
  <si>
    <t>접착,PB E0 18t 수입 LPM/O RCN (UK)</t>
  </si>
  <si>
    <t>접착,PB E0 18t 수입 LPM/0 SO (UK)</t>
  </si>
  <si>
    <t>접착,PB E0 18t 수입 LPM/O SP (WT)</t>
  </si>
  <si>
    <t>접착,PB E0 18t 수입 LPM/O TS</t>
  </si>
  <si>
    <t>접착,PB E0 18t 수입 LPM/O WP (WT)</t>
  </si>
  <si>
    <t>WDWP000322-R000</t>
  </si>
  <si>
    <t>4'*5.3'*28mm</t>
  </si>
  <si>
    <t>유신물산(주)</t>
  </si>
  <si>
    <t>접착,PB E0 28t 수입 LPM/O WW (ST)</t>
  </si>
  <si>
    <t>WDWP000381-R000</t>
  </si>
  <si>
    <t>접착,PB E0 18t 수입 LPM/O CZ (UK)</t>
  </si>
  <si>
    <t>4'×6'×18</t>
  </si>
  <si>
    <t>접착,PB E0 18t 수입 LPM/O HW (UK)</t>
  </si>
  <si>
    <t>4'*6'*18</t>
  </si>
  <si>
    <t>WDWP000730-R000</t>
  </si>
  <si>
    <t>접착,PB E0 22t 수입 LPM/O WW 6'*8' (ST)</t>
  </si>
  <si>
    <t>6'*8'*22</t>
  </si>
  <si>
    <t>4'*8'*4.5</t>
  </si>
  <si>
    <t>UW</t>
  </si>
  <si>
    <t>WGYS</t>
  </si>
  <si>
    <t>WDWP000951-R000</t>
  </si>
  <si>
    <t>접착,PB E0 28t 수입 LPM/O NCGYM 6*8 (UK)</t>
  </si>
  <si>
    <t>6*8*28</t>
  </si>
  <si>
    <t>접착,PB E0 28t 수입 LPM/O WW 6'*8' (ST)</t>
  </si>
  <si>
    <t>2440*1830*28</t>
  </si>
  <si>
    <t>WDWP001105-R000</t>
  </si>
  <si>
    <t>접착,MDF E0 9T 국산 LPM/0 OAT</t>
  </si>
  <si>
    <t>4*8*9</t>
  </si>
  <si>
    <t>WDWP001205-R000</t>
  </si>
  <si>
    <t>접착,PB E0 15t 수입 LPM/O GYM 4'*6' (WT)</t>
  </si>
  <si>
    <t>1830*1220*15</t>
  </si>
  <si>
    <t>WDWP001206-R000</t>
  </si>
  <si>
    <t>접착,PB E0 15t 수입 LPM/O FK (WT)</t>
  </si>
  <si>
    <t>WDWP001360-R000</t>
  </si>
  <si>
    <t>접착,PB E0 15t 수입 LPM/0 WW 6×8 (ST)</t>
  </si>
  <si>
    <t>6'×8'×15</t>
  </si>
  <si>
    <t>WDWP001806-R000</t>
  </si>
  <si>
    <t>접착,PB E0 28t 수입 LPM/0 FK 6*8(WT)_엇결</t>
  </si>
  <si>
    <t>접착,PB E0 28t 수입 LPM/0 ML 6*8(WT)_엇결</t>
  </si>
  <si>
    <t>WDWP001817-R000</t>
  </si>
  <si>
    <t>접착,PB E0 22t 수입 LPM/0 NCGYM 6*8(UK)_엇결</t>
  </si>
  <si>
    <t>6*8*22</t>
  </si>
  <si>
    <t>WDWP002205-R000</t>
  </si>
  <si>
    <t>접착,PB E0 22t 수입 LPM/0 HW (UK) 4*6</t>
  </si>
  <si>
    <t>WDWPMF0000023</t>
  </si>
  <si>
    <t>접착,PB E0 22t 수입 LPM/O NWW (UK)</t>
  </si>
  <si>
    <t>WDWPMF0000158</t>
  </si>
  <si>
    <t>접착,PB E0 12T 수입 LPM/0 NBK (UK)</t>
  </si>
  <si>
    <t>WDWPMF0000159</t>
  </si>
  <si>
    <t>접착,MDF E0 18T 국산 LPM/0 WGYS (DS)</t>
  </si>
  <si>
    <t>WDWPMF0000177</t>
  </si>
  <si>
    <t>WDWPMF0000188</t>
  </si>
  <si>
    <t>WDWPMF0000190</t>
  </si>
  <si>
    <t>접착,MDF E0 18t 국산 LPM/O SP (WT)</t>
  </si>
  <si>
    <t>WDWPMF0000191</t>
  </si>
  <si>
    <t>접착,MDF E0 22t 국산 LPM/O SP (WT)</t>
  </si>
  <si>
    <t>WDWPMF0000193</t>
  </si>
  <si>
    <t>접착,PB E0 15t 수입 LPM/O RM (WT)</t>
  </si>
  <si>
    <t>WDWPMF0000194</t>
  </si>
  <si>
    <t>접착,PB E0 18t 수입 LPM/O RM (WT)</t>
  </si>
  <si>
    <t>WDWPMF0000195</t>
  </si>
  <si>
    <t>접착,PB E0 22t 수입 LPM/O RM (WT)</t>
  </si>
  <si>
    <t>WDWPMF0000196</t>
  </si>
  <si>
    <t>TM</t>
  </si>
  <si>
    <t>접착,PB E0 18t 수입 LPM/O TM (WT)</t>
  </si>
  <si>
    <t>WDWPMF0000197</t>
  </si>
  <si>
    <t>접착,PB E0 22t 수입 LPM/O TM (WT)</t>
  </si>
  <si>
    <t>WDWPMF0000223</t>
  </si>
  <si>
    <t>접착,PB E0 15t 수입 LPM/O TM (WT)</t>
  </si>
  <si>
    <t>WDWPMF0000235</t>
  </si>
  <si>
    <t>접착,MDF E0 9t 국산 LPM/0 GYM (WT)</t>
  </si>
  <si>
    <t>WDWPMF0000239</t>
  </si>
  <si>
    <t>접착,PB E0 28t 수입 LPM/O SP (WT)</t>
  </si>
  <si>
    <t>WDWPMF0000260</t>
  </si>
  <si>
    <t>접착,PB E0 15T 수입 LPM/O WP/HBR (WT)</t>
  </si>
  <si>
    <t>WDWPMF0000261</t>
  </si>
  <si>
    <t>WDWPMF0000278</t>
  </si>
  <si>
    <t>접착,MDF E0 15t 국산 LPM/0 BGM (WT)</t>
  </si>
  <si>
    <t>WDWPMF0000279</t>
  </si>
  <si>
    <t>BUR</t>
  </si>
  <si>
    <t>접착,MDF E0 15t 국산 LPM/0 BUR (WT)</t>
  </si>
  <si>
    <t>WDWPMF0000289</t>
  </si>
  <si>
    <t>접착,PB E0 15t 수입 LPM/- SP (WT)</t>
  </si>
  <si>
    <t>4'*6'*15</t>
  </si>
  <si>
    <t>WDWPMF0000294</t>
  </si>
  <si>
    <t>접착,PB E0 15T 수입 LPM/O UW (UK)</t>
  </si>
  <si>
    <t>WDWPMF0000295</t>
  </si>
  <si>
    <t>접착,PB E0 18T 수입 LPM/O UW (UK)</t>
  </si>
  <si>
    <t>WDWPMF0000302</t>
  </si>
  <si>
    <t>접착,PB E0 22t 수입 LPM/O RCN 6'*8' (UK) _ 엇결</t>
  </si>
  <si>
    <t>2440*1830*22</t>
  </si>
  <si>
    <t>WDWPMF0000304</t>
  </si>
  <si>
    <t>IVGYM</t>
  </si>
  <si>
    <t>접착,PB E0 15T 수입 LPM/O IVGYM (투톤)</t>
  </si>
  <si>
    <t>4'*8'*15 (IVGYM/IV)</t>
  </si>
  <si>
    <t>WDWPMF0000305</t>
  </si>
  <si>
    <t>IVLUW</t>
  </si>
  <si>
    <t>접착,PB E0 15T 수입 LPM/O IVLUW (투톤)</t>
  </si>
  <si>
    <t>4'*8'*15 (IVLUW/IV)</t>
  </si>
  <si>
    <t>WDWPMF0000306</t>
  </si>
  <si>
    <t>IVRM</t>
  </si>
  <si>
    <t>접착,PB E0 15T 수입 LPM/O IVRM (투톤)</t>
  </si>
  <si>
    <t>4'*8'*15 (IVRM/IV)</t>
  </si>
  <si>
    <t>WDWPMF0000307</t>
  </si>
  <si>
    <t>IVTM</t>
  </si>
  <si>
    <t>접착,PB E0 15T 수입 LPM/O IVTM (투톤)</t>
  </si>
  <si>
    <t>4'*8'*15 (IVTM/IV)</t>
  </si>
  <si>
    <t>WDWPMF0000308</t>
  </si>
  <si>
    <t>GYMLUW</t>
  </si>
  <si>
    <t>접착,PB E0 18T 수입 LPM/O GYMLUW (투톤)</t>
  </si>
  <si>
    <t>4'*8'*18 (GYMLUW/GYM)</t>
  </si>
  <si>
    <t>WDWPMF0000309</t>
  </si>
  <si>
    <t>GYMRM</t>
  </si>
  <si>
    <t>접착,PB E0 18T 수입 LPM/O GYMRM (투톤)</t>
  </si>
  <si>
    <t>4'*8'*18 (GYMRM/GYM)</t>
  </si>
  <si>
    <t>2440*1220*18</t>
  </si>
  <si>
    <t>WDWPMF0000317</t>
  </si>
  <si>
    <t>접착,MDF E0 22t 국산 LPM/O UW (UK)</t>
  </si>
  <si>
    <t>WDWPMF0000379</t>
  </si>
  <si>
    <t>접착,PB E0 18t 수입 LPM/O SP(WT)_4'*6'</t>
  </si>
  <si>
    <t>WDWPMF0000399</t>
  </si>
  <si>
    <t>접착,PB E0 22t 수입 LPM/O OAT(SM3)</t>
  </si>
  <si>
    <t>4'*8'*22(프린테크 SGY2280)</t>
  </si>
  <si>
    <t>WDWPMF0000404</t>
  </si>
  <si>
    <t>접착,PB E0 15t 수입 LPM/O OAT(SM3)</t>
  </si>
  <si>
    <t>ETET000425-R000</t>
  </si>
  <si>
    <t>본드,핫멜트 BAZ3000 EVA</t>
  </si>
  <si>
    <t>25KG</t>
  </si>
  <si>
    <t>소모재료</t>
  </si>
  <si>
    <t>ETFS000053-R000</t>
  </si>
  <si>
    <t>와셔,평 Ø15*Ø6*3t</t>
  </si>
  <si>
    <t>15*6*3T</t>
  </si>
  <si>
    <t>ETFS000081-R000</t>
  </si>
  <si>
    <t>나사,바인딩 5*45 BK</t>
  </si>
  <si>
    <t>5*45</t>
  </si>
  <si>
    <t>ETFS000099-R000</t>
  </si>
  <si>
    <t>나사,와샤 드릴링 4*12 NI</t>
  </si>
  <si>
    <t>ETFS000106-R000</t>
  </si>
  <si>
    <t>나사,접시 3.5*20 NI</t>
  </si>
  <si>
    <t>3.5*20</t>
  </si>
  <si>
    <t>ETFS000107-R000</t>
  </si>
  <si>
    <t>나사,접시 3.5*25</t>
  </si>
  <si>
    <t>FLAT  NIKEL  T/S-1  3.5*25</t>
  </si>
  <si>
    <t>ETFS000109-R000</t>
  </si>
  <si>
    <t>ETFS000114-R000</t>
  </si>
  <si>
    <t>나사,접시 3*15 NI</t>
  </si>
  <si>
    <t>FLAT  NIKEL  T/S-1  3*15</t>
  </si>
  <si>
    <t>ETFS000194-R000</t>
  </si>
  <si>
    <t>시스템나사,바인딩 6.5*15</t>
  </si>
  <si>
    <t>6.5X15</t>
  </si>
  <si>
    <t>ETFS000206-R000</t>
  </si>
  <si>
    <t>시스템나사,접시 6.5*15</t>
  </si>
  <si>
    <t>FLAT  BLACK  T/S-2  6.5*15</t>
  </si>
  <si>
    <t>시스템나사,접시 6.5*15 2종</t>
  </si>
  <si>
    <t>Φ6.5x15</t>
  </si>
  <si>
    <t>ETFS000207-R000</t>
  </si>
  <si>
    <t>시스템나사,접시 6.5*18</t>
  </si>
  <si>
    <t>Φ6.5x18</t>
  </si>
  <si>
    <t>ETFS000212-R000</t>
  </si>
  <si>
    <t>시스템나사,접시 6.5*35 WH</t>
  </si>
  <si>
    <t>FLAT  WHITE  T/S-2  6.5*35</t>
  </si>
  <si>
    <t>ETFS000215-R000</t>
  </si>
  <si>
    <t>FLAT  WHITE  T/S-2  6.5*40</t>
  </si>
  <si>
    <t>ETFS000230-R000</t>
  </si>
  <si>
    <t>시스템나사,평머리 6.5*22 BK</t>
  </si>
  <si>
    <t>6.5*22</t>
  </si>
  <si>
    <t>ETFS000231-R000</t>
  </si>
  <si>
    <t>ETFS000238-R000</t>
  </si>
  <si>
    <t>나사,와샤 3.5*15 NI</t>
  </si>
  <si>
    <t>P/W  NIKEL  T/S-1  3.5*15</t>
  </si>
  <si>
    <t>ETFS000239-R000</t>
  </si>
  <si>
    <t>나사,와샤 3.5*18</t>
  </si>
  <si>
    <t>P/W  NIKEL  T/S-1  3.5*18</t>
  </si>
  <si>
    <t>ETFS000260-R000</t>
  </si>
  <si>
    <t>볼트,바인딩 M4*10 BK</t>
  </si>
  <si>
    <t>BIND  BLACK  M/S  4*10</t>
  </si>
  <si>
    <t>ETFS000341-R000</t>
  </si>
  <si>
    <t>볼트,접시 M6*15</t>
  </si>
  <si>
    <t>FLAT  NIKEL  M/S  6*15</t>
  </si>
  <si>
    <t>ETFS000528-R000</t>
  </si>
  <si>
    <t>볼트,평머리 M6*15 NI F31-1I-040</t>
  </si>
  <si>
    <t>M6*15</t>
  </si>
  <si>
    <t>ETFS000538-R000</t>
  </si>
  <si>
    <t>볼트,평머리 M6*30</t>
  </si>
  <si>
    <t>M6x30</t>
  </si>
  <si>
    <t>ETFS000540-R000</t>
  </si>
  <si>
    <t>볼트,평머리 M6*35 NI</t>
  </si>
  <si>
    <t>M6X35</t>
  </si>
  <si>
    <t>ETFS000570-R000</t>
  </si>
  <si>
    <t>볼트,와샤 M4*10 BK</t>
  </si>
  <si>
    <t>￠4*10</t>
  </si>
  <si>
    <t>ETFS000575-R000</t>
  </si>
  <si>
    <t>볼트,와셔 M4*20 BK</t>
  </si>
  <si>
    <t>M4*20</t>
  </si>
  <si>
    <t>ETFS001018-R000</t>
  </si>
  <si>
    <t>볼트/너트,커넥팅 Ø5*15/M4*22 NI 15t용</t>
  </si>
  <si>
    <t>Φ5*15 / M4*22</t>
  </si>
  <si>
    <t>ETFS001023-R000</t>
  </si>
  <si>
    <t>볼트/너트,커넥팅 Ø8*25/M6*20 BK</t>
  </si>
  <si>
    <t>평-볼트M6*20+컨-너트8*25</t>
  </si>
  <si>
    <t>ETFS001040-R000</t>
  </si>
  <si>
    <t>시스템나사,라픽스 6.5*7.5</t>
  </si>
  <si>
    <t>6.5*7.5</t>
  </si>
  <si>
    <t>시스템나사,미니픽스 24 NT</t>
  </si>
  <si>
    <t>ETFS001043-R000</t>
  </si>
  <si>
    <t>시스템나사,미니픽스 24 WH 12t용</t>
  </si>
  <si>
    <t>L:24*7.5</t>
  </si>
  <si>
    <t>L:34</t>
  </si>
  <si>
    <t>ETHW000321-R000</t>
  </si>
  <si>
    <t>네임플레이트,DESKER (삽입형_피치:10) WW</t>
  </si>
  <si>
    <t>28*8.4*5.5</t>
  </si>
  <si>
    <t>ETHW000556-R000</t>
  </si>
  <si>
    <t>링,키</t>
  </si>
  <si>
    <t>ETHW000562-R000</t>
  </si>
  <si>
    <t>네임플레이트,DESKER (삽입형) WW</t>
  </si>
  <si>
    <t>26*8.4*5</t>
  </si>
  <si>
    <t>ETHW000564-R000</t>
  </si>
  <si>
    <t>RD</t>
  </si>
  <si>
    <t>네임플레이트,일룸 음각 삽입형 RD</t>
  </si>
  <si>
    <t>28*9*1</t>
  </si>
  <si>
    <t>ETHW000565-R000</t>
  </si>
  <si>
    <t>네임플레이트,일룸 음각 부착형 RD</t>
  </si>
  <si>
    <t>ETHW000642-R000</t>
  </si>
  <si>
    <t>FC</t>
  </si>
  <si>
    <t>퍼시스 네임플레이트 삽입형 FC</t>
  </si>
  <si>
    <t>24.24*8.81*1.2 (삽입식)</t>
  </si>
  <si>
    <t>ETHW000971-R000</t>
  </si>
  <si>
    <t>CS</t>
  </si>
  <si>
    <t>일룸 네임플레이트 CS(부착형)</t>
  </si>
  <si>
    <t>스튜디오더라인 주식회사</t>
  </si>
  <si>
    <t>22*28*1</t>
  </si>
  <si>
    <t>ETHW000972-R000</t>
  </si>
  <si>
    <t>일룸 네임플레이트 CS(삽입형)</t>
  </si>
  <si>
    <t>주식회사 올데코</t>
  </si>
  <si>
    <t>22*28*3</t>
  </si>
  <si>
    <t>ETHW001275-R000</t>
  </si>
  <si>
    <t>DESKER 네임플레이트 3핀 타입 WW</t>
  </si>
  <si>
    <t>28*8.4*5</t>
  </si>
  <si>
    <t>NSNGDG0001230</t>
  </si>
  <si>
    <t>인서트,M6*12 NT (사출볼 포함)</t>
  </si>
  <si>
    <t>M6*12 (사출볼 포함)</t>
  </si>
  <si>
    <t>NSNW000941-R000</t>
  </si>
  <si>
    <t>옷걸이봉,소켓L BG(천판용)</t>
  </si>
  <si>
    <t>DG</t>
  </si>
  <si>
    <t>옷걸이봉,소켓L DG (천판용)</t>
  </si>
  <si>
    <t>NSNW000942-R000</t>
  </si>
  <si>
    <t>옷걸이봉,소켓R BG(천판용)</t>
  </si>
  <si>
    <t>옷걸이봉,소켓R DG (천판용)</t>
  </si>
  <si>
    <t>NSNW000952-R000</t>
  </si>
  <si>
    <t>옷걸이봉,755 CG (소켓제외)</t>
  </si>
  <si>
    <t>L:755</t>
  </si>
  <si>
    <t>NSNW001059-R000</t>
  </si>
  <si>
    <t>옷걸이봉 755 (소켓 제외) SV</t>
  </si>
  <si>
    <t>L : 755(소켓 제외)</t>
  </si>
  <si>
    <t>NSTGNP0000018</t>
  </si>
  <si>
    <t>네임플레이트,일룸 소파 XX</t>
  </si>
  <si>
    <t>30*35*1(샴페인골드,헤어라인)</t>
  </si>
  <si>
    <t>OPPW001782-R000</t>
  </si>
  <si>
    <t>뒷판잡이(일체형) CLS</t>
  </si>
  <si>
    <t>접시나사 3*20 NI 포함(조이)</t>
  </si>
  <si>
    <t>OPPW002011-R000</t>
  </si>
  <si>
    <t>커버후드,Ø5 MM</t>
  </si>
  <si>
    <t>Φ5</t>
  </si>
  <si>
    <t>PO</t>
  </si>
  <si>
    <t>커버후드,Ø5 PO</t>
  </si>
  <si>
    <t>커버후드,Ø5 UA</t>
  </si>
  <si>
    <t>커버후드,Ø5 WW</t>
  </si>
  <si>
    <t>OPPW002012-R000</t>
  </si>
  <si>
    <t>Φ8</t>
  </si>
  <si>
    <t>커버후드,Ø8 MM</t>
  </si>
  <si>
    <t>커버후드,Ø8 WW</t>
  </si>
  <si>
    <t>OPPW002525-R000</t>
  </si>
  <si>
    <t>경코너,CG</t>
  </si>
  <si>
    <t>OPPW002527-R000</t>
  </si>
  <si>
    <t>홀더,캐스터 통합</t>
  </si>
  <si>
    <t>OPPW002529-R000</t>
  </si>
  <si>
    <t>앙카,토우(석고보드용)</t>
  </si>
  <si>
    <t>TA-50</t>
  </si>
  <si>
    <t>OPPW002530-R000</t>
  </si>
  <si>
    <t>클립,선정리 DA-3N (R5용)</t>
  </si>
  <si>
    <t>OPPW002533-R000</t>
  </si>
  <si>
    <t>GREY</t>
  </si>
  <si>
    <t>가이드,슬라이드 HEC1208</t>
  </si>
  <si>
    <t>HETTICH-903721200</t>
  </si>
  <si>
    <t>STCG000951-R000</t>
  </si>
  <si>
    <t>홀더,P 키</t>
  </si>
  <si>
    <t>48*12*1.2</t>
  </si>
  <si>
    <t>STCG001353-R000</t>
  </si>
  <si>
    <t>브라켓,보강</t>
  </si>
  <si>
    <t>30*30*40</t>
  </si>
  <si>
    <t>STCG001354-R000</t>
  </si>
  <si>
    <t>브라켓,조립</t>
  </si>
  <si>
    <t>48*30*48</t>
  </si>
  <si>
    <t>STCG001358-R000</t>
  </si>
  <si>
    <t>걸이,소품 WW S0</t>
  </si>
  <si>
    <t>STCG001360-R000</t>
  </si>
  <si>
    <t>브라켓,SLD 30</t>
  </si>
  <si>
    <t>30*2</t>
  </si>
  <si>
    <t>STCG001361-R000</t>
  </si>
  <si>
    <t>브라켓,SLD 50</t>
  </si>
  <si>
    <t>48*2</t>
  </si>
  <si>
    <t>W31-1H-603</t>
  </si>
  <si>
    <t>옷걸이봉,소켓L 천판용</t>
  </si>
  <si>
    <t>옷걸이봉 소켓L</t>
  </si>
  <si>
    <t>W31-1H-604</t>
  </si>
  <si>
    <t>옷걸이봉,소켓R 천판용</t>
  </si>
  <si>
    <t>옷걸이봉 소켓R</t>
  </si>
  <si>
    <t>W31-1S-282</t>
  </si>
  <si>
    <t>볼트,바인딩 M4*8 NI</t>
  </si>
  <si>
    <t>BIND  NIKEL  M/S  4*8</t>
  </si>
  <si>
    <t>W31-1S-315</t>
  </si>
  <si>
    <t>볼트,평머리 M6*55 NI</t>
  </si>
  <si>
    <t>M6*55</t>
  </si>
  <si>
    <t>소모품</t>
  </si>
  <si>
    <t>ETCS000269-R000</t>
  </si>
  <si>
    <t>목다보,Ø8*40</t>
  </si>
  <si>
    <t>8*40</t>
  </si>
  <si>
    <t>ETCS000270-R000</t>
  </si>
  <si>
    <t>목다보,Ø5*30</t>
  </si>
  <si>
    <t>5*30</t>
  </si>
  <si>
    <t>ETCS000274-R000</t>
  </si>
  <si>
    <t>10*2.5</t>
  </si>
  <si>
    <t>주식회사 대울</t>
  </si>
  <si>
    <t>OPCMRA0000004</t>
  </si>
  <si>
    <t>이형제,엣지밴더용(코원산업) XX</t>
  </si>
  <si>
    <t>코원산업_이형제</t>
  </si>
  <si>
    <t>OPFW001782-R000</t>
  </si>
  <si>
    <t>EVA 범퍼</t>
  </si>
  <si>
    <t>Φ13*8T</t>
  </si>
  <si>
    <t>PPGW000600-R000</t>
  </si>
  <si>
    <t>스티커, 벽고정 필수 XX</t>
  </si>
  <si>
    <t>70*50</t>
  </si>
  <si>
    <t>PPGW000792-R000</t>
  </si>
  <si>
    <t>스티커,품질표시 (공용)</t>
  </si>
  <si>
    <t>PPGW000804-R000</t>
  </si>
  <si>
    <t>원형스티커,SP (Ø15)</t>
  </si>
  <si>
    <t>Φ15</t>
  </si>
  <si>
    <t>PPGW000813-R000</t>
  </si>
  <si>
    <t>스티커,3세미만주의</t>
  </si>
  <si>
    <t>70*35</t>
  </si>
  <si>
    <t>PPGW000817-R000</t>
  </si>
  <si>
    <t>스티커,주의(데스커 책장용)</t>
  </si>
  <si>
    <t>160*44</t>
  </si>
  <si>
    <t>PPGW000829-R000</t>
  </si>
  <si>
    <t>스티커,전도위험주의(리빙) XX</t>
  </si>
  <si>
    <t>90*24</t>
  </si>
  <si>
    <t>PPGW001032-R000</t>
  </si>
  <si>
    <t>바코드 스티커(하늘색)</t>
  </si>
  <si>
    <t>100mm*20mm</t>
  </si>
  <si>
    <t>PPGW001033-R000</t>
  </si>
  <si>
    <t>스티커,목재수분</t>
  </si>
  <si>
    <t>W61-3S-0001</t>
  </si>
  <si>
    <t>펠트,타원형(부착형)</t>
  </si>
  <si>
    <t>35*14*5</t>
  </si>
  <si>
    <t>동영소파산업 주식회사</t>
  </si>
  <si>
    <t>W61-3Z-103</t>
  </si>
  <si>
    <t>세척제,S/Cleaner</t>
  </si>
  <si>
    <t>OPPRPE0000021</t>
  </si>
  <si>
    <t>레진,HIPS MM 94642_MM 재생 사출용</t>
  </si>
  <si>
    <t>94642_MM</t>
  </si>
  <si>
    <t>원재료</t>
  </si>
  <si>
    <t>(주)현성</t>
  </si>
  <si>
    <t>OPPRPE0000022</t>
  </si>
  <si>
    <t>레진,HIPS BK 94642_BK 재생 사출용</t>
  </si>
  <si>
    <t>94642_BK</t>
  </si>
  <si>
    <t>PPFC000005-R000</t>
  </si>
  <si>
    <t>데코페이퍼,BE</t>
  </si>
  <si>
    <t>성지라미텍</t>
  </si>
  <si>
    <t>데코페이퍼,FK</t>
  </si>
  <si>
    <t>유신메라민공업(주)</t>
  </si>
  <si>
    <t>데코페이퍼,OS</t>
  </si>
  <si>
    <t>샤트데코(14-12070-001)</t>
  </si>
  <si>
    <t>데코페이퍼,WW (KD0058U)</t>
  </si>
  <si>
    <t>KD0058U</t>
  </si>
  <si>
    <t>PPFC000112-R000</t>
  </si>
  <si>
    <t>PP, SO 0.12mm 전면용</t>
  </si>
  <si>
    <t>주식회사 와이앤제이시스템</t>
  </si>
  <si>
    <t>PPFC000300-R000</t>
  </si>
  <si>
    <t>FF,BRC(선함침)</t>
  </si>
  <si>
    <t>(주)메닉스</t>
  </si>
  <si>
    <t>FF,SP (선함침)</t>
  </si>
  <si>
    <t>**</t>
  </si>
  <si>
    <t>PPFC000308-R000</t>
  </si>
  <si>
    <t>FF,BK(후함침)</t>
  </si>
  <si>
    <t>FF, SO(후함침)</t>
  </si>
  <si>
    <t>PPFC000313-R000</t>
  </si>
  <si>
    <t>데코페이퍼,SO(DL-OM9)_후함침용</t>
  </si>
  <si>
    <t>PPFC000314-R000</t>
  </si>
  <si>
    <t>OATP</t>
  </si>
  <si>
    <t>SPP</t>
  </si>
  <si>
    <t>PP, SPP 0.16mm 전면용(내지문코팅)_보호필름X</t>
  </si>
  <si>
    <t>0.16mm*1260_x0000__x0000__x0000__x0000_</t>
  </si>
  <si>
    <t>PPFC000315-R000</t>
  </si>
  <si>
    <t>PP, SPP 0.1mm 후면용</t>
  </si>
  <si>
    <t>0.1mm*1260</t>
  </si>
  <si>
    <t>PPFC000316-R000</t>
  </si>
  <si>
    <t>PP,OATP 0.16mm 전면용(내지문코팅)_보호필름O</t>
  </si>
  <si>
    <t>주식회사 비앤비데코</t>
  </si>
  <si>
    <t>PP,SPP 0.16mm 전면용(내지문코팅)_보호필름O</t>
  </si>
  <si>
    <t>PPFC000405-R000</t>
  </si>
  <si>
    <t>템바 PP WW 제결</t>
  </si>
  <si>
    <t>주식회사 동방</t>
  </si>
  <si>
    <t>PPFC000406-R000</t>
  </si>
  <si>
    <t>템바 PP FK 엇결</t>
  </si>
  <si>
    <t>템바 PP WW 엇결</t>
  </si>
  <si>
    <t>PPRPHC0000003</t>
  </si>
  <si>
    <t>하니패드형(15T)</t>
  </si>
  <si>
    <t>구룡산업</t>
  </si>
  <si>
    <t>백룡산업</t>
  </si>
  <si>
    <t>주식회사 대진</t>
  </si>
  <si>
    <t>PPRPHC0000004</t>
  </si>
  <si>
    <t>하니패드형(20T)</t>
  </si>
  <si>
    <t>PPRPHC0000005</t>
  </si>
  <si>
    <t>하니패드형(30T)</t>
  </si>
  <si>
    <t>PPRPHC0000007</t>
  </si>
  <si>
    <t>하니패드형(40T)</t>
  </si>
  <si>
    <t>PPRPHC0000008</t>
  </si>
  <si>
    <t>하니패드형(50T)</t>
  </si>
  <si>
    <t>PPRPHC0000011</t>
  </si>
  <si>
    <t>하니패드형(70T)</t>
  </si>
  <si>
    <t>PPRPHC0000013</t>
  </si>
  <si>
    <t>하니패드형(90T)</t>
  </si>
  <si>
    <t>W11-0M-207</t>
  </si>
  <si>
    <t>MDF E0,4.5t 국산 FF/0 IV</t>
  </si>
  <si>
    <t>GYC</t>
  </si>
  <si>
    <t>MDF E0,4.5t 국산 FF/0 GYC</t>
  </si>
  <si>
    <t>W11-2M-202A</t>
  </si>
  <si>
    <t>MDF E0,12t 국산 4'*8'</t>
  </si>
  <si>
    <t>4'*8'*12MM</t>
  </si>
  <si>
    <t>W11-3V-332</t>
  </si>
  <si>
    <t>FF,WW 4'*0.12mm</t>
  </si>
  <si>
    <t>4'*0.12MM</t>
  </si>
  <si>
    <t>W11-3V-333</t>
  </si>
  <si>
    <t>FF,IV 4'*0.12mm</t>
  </si>
  <si>
    <t>W11-3V-358</t>
  </si>
  <si>
    <t>FF,OS 4'*0.12mm</t>
  </si>
  <si>
    <t>W11-3V-360</t>
  </si>
  <si>
    <t>FF,HBR 4'*0.12mm</t>
  </si>
  <si>
    <t>W11-3V-361</t>
  </si>
  <si>
    <t>FF,NCC 4'*0.12mm</t>
  </si>
  <si>
    <t>IVA</t>
  </si>
  <si>
    <t>W11-3V-365</t>
  </si>
  <si>
    <t>FF,GYC 4'*0.12mm</t>
  </si>
  <si>
    <t>W12-0L-782</t>
  </si>
  <si>
    <t>접착,PB E0 18t 수입 ASA/0 IVA</t>
  </si>
  <si>
    <t>W12-0M-168A</t>
  </si>
  <si>
    <t>MDF E0,2.7t 국산 FF/0 IV</t>
  </si>
  <si>
    <t>4*8*2.7</t>
  </si>
  <si>
    <t>4'*8'*4.5MM</t>
  </si>
  <si>
    <t>W12-0M-355</t>
  </si>
  <si>
    <t>MDF E0,4.5t 국산 FF/0 HBR</t>
  </si>
  <si>
    <t>4*8*4.5mm</t>
  </si>
  <si>
    <t>W12-0M-360</t>
  </si>
  <si>
    <t>PB E0,18t 수입 4'*8'</t>
  </si>
  <si>
    <t>4'*8'*18MM</t>
  </si>
  <si>
    <t>W13-2B-210</t>
  </si>
  <si>
    <t>PB E0,12t 수입 4'*8'</t>
  </si>
  <si>
    <t>W13-2M-0004</t>
  </si>
  <si>
    <t>MDF E0,2.7t 수입 4'*8'</t>
  </si>
  <si>
    <t>W13-2M-0008</t>
  </si>
  <si>
    <t>MDF E0,4.5t 수입 4'*7'</t>
  </si>
  <si>
    <t>4*7*4.5 35형</t>
  </si>
  <si>
    <t>WDPGMV0000018</t>
  </si>
  <si>
    <t>WDWP000150-R000</t>
  </si>
  <si>
    <t>MDF E0,4.5t 국산 FF/0 BK</t>
  </si>
  <si>
    <t>MDF E0, 4.5t 국산 FF/0 BRC</t>
  </si>
  <si>
    <t>MDF E0,4.5t 국산 FF/O CZ</t>
  </si>
  <si>
    <t>MDF E0,4.5t 국산 FF/0 GU</t>
  </si>
  <si>
    <t>MDF E0,4.5t 국산 FF/0 GY</t>
  </si>
  <si>
    <t>MDF E0,4.5t 국산 FF/0 LT</t>
  </si>
  <si>
    <t>MDF E0,4.5t 국산 FF/O OAT</t>
  </si>
  <si>
    <t>MDF E0,4.5t 국산 FF/0 OS</t>
  </si>
  <si>
    <t>MDF E0,4.5t 국산 FF/0 SP</t>
  </si>
  <si>
    <t>MDF E0,4.5t 국산 FF/0 WW</t>
  </si>
  <si>
    <t>WDWP000168-R000</t>
  </si>
  <si>
    <t>MIGP</t>
  </si>
  <si>
    <t>접착,SPB E0 18t 국산 MIGP/MIG (UV코팅)</t>
  </si>
  <si>
    <t>WDWP000244-R000</t>
  </si>
  <si>
    <t>PB E0,18t 국산 4'*8'</t>
  </si>
  <si>
    <t>WDWP000831-R000</t>
  </si>
  <si>
    <t>WDWP001091-R000</t>
  </si>
  <si>
    <t>PB E0,12t 국산 FF/0 LT</t>
  </si>
  <si>
    <t>WDWP001118-R000</t>
  </si>
  <si>
    <t>MDF E0,2.7t 국산 FF/0 WW</t>
  </si>
  <si>
    <t>WDWP001445-R000</t>
  </si>
  <si>
    <t>MDF E0,2.7t 수입 4'*6'</t>
  </si>
  <si>
    <t>4'*6'*2.7mm</t>
  </si>
  <si>
    <t>WDWP001547-P000</t>
  </si>
  <si>
    <t>MDF E0,4.5t 국산 FF/0 GYC 4×7</t>
  </si>
  <si>
    <t>4'×7'×4.5</t>
  </si>
  <si>
    <t>MDF E0,4.5t 국산 FF/0 NCC 4×7</t>
  </si>
  <si>
    <t>MDF E0,4.5t 국산 FF/0 OS 4×7</t>
  </si>
  <si>
    <t>WDWP001547-R000</t>
  </si>
  <si>
    <t>4'*7'*4.5</t>
  </si>
  <si>
    <t>WDWP001848-R000</t>
  </si>
  <si>
    <t>BKC</t>
  </si>
  <si>
    <t>WDWPMF0000398</t>
  </si>
  <si>
    <t>MDF E0,4.5t 국산 FF/0 WW 4'×7'</t>
  </si>
  <si>
    <t>PPBX005000-R001</t>
  </si>
  <si>
    <t>FDA9014CNA 포장박스</t>
  </si>
  <si>
    <t>735*170*50 SW T1형</t>
  </si>
  <si>
    <t>포장재료</t>
  </si>
  <si>
    <t>PPBX005001-R001</t>
  </si>
  <si>
    <t>FDA9016CNA 포장박스</t>
  </si>
  <si>
    <t>935*170*50 SW T1형</t>
  </si>
  <si>
    <t>PPBX005002-R001</t>
  </si>
  <si>
    <t>FDA9018CNA 포장박스</t>
  </si>
  <si>
    <t>1135*170*50 SW T1형</t>
  </si>
  <si>
    <t>PPBX008514-P000</t>
  </si>
  <si>
    <t>CBB0053PHE 포장박스</t>
  </si>
  <si>
    <t>610*495*65 SW H표준형</t>
  </si>
  <si>
    <t>PPGPBX0025118</t>
  </si>
  <si>
    <t>CCR0016CAN 포장박스</t>
  </si>
  <si>
    <t>1605*970*40 SW T1형</t>
  </si>
  <si>
    <t>PPGPBX0025119</t>
  </si>
  <si>
    <t>CCR0020CAN 포장박스</t>
  </si>
  <si>
    <t>2005*970*40 SW T1형</t>
  </si>
  <si>
    <t>퍼시스충주2공장</t>
    <phoneticPr fontId="3" type="noConversion"/>
  </si>
  <si>
    <t>ETHW000440-R000</t>
  </si>
  <si>
    <t>IVD</t>
  </si>
  <si>
    <t>보강대,리프트업(288) 1SET(IVD)</t>
  </si>
  <si>
    <t>465*378*299</t>
  </si>
  <si>
    <t>ETHW001022-R000</t>
  </si>
  <si>
    <t>가스스프링 (3KG, L=200)</t>
  </si>
  <si>
    <t>L:200</t>
  </si>
  <si>
    <t>NSNW000816-R000</t>
  </si>
  <si>
    <t>KP</t>
  </si>
  <si>
    <t>손잡이A,K1 KP</t>
  </si>
  <si>
    <t>110*110*1</t>
  </si>
  <si>
    <t>KS</t>
  </si>
  <si>
    <t>손잡이A,K1 KS</t>
  </si>
  <si>
    <t>NSNW000850-R000</t>
  </si>
  <si>
    <t>A385A</t>
  </si>
  <si>
    <t>손잡이,체오스 리뉴얼 A385A</t>
  </si>
  <si>
    <t>140*20*11</t>
  </si>
  <si>
    <t>NSTGJJ0000182</t>
  </si>
  <si>
    <t>FAD 소품네트 BK</t>
  </si>
  <si>
    <t>158*414*4</t>
  </si>
  <si>
    <t>P21-4A-004</t>
  </si>
  <si>
    <t>가죽패드,ZDC0020/1024</t>
  </si>
  <si>
    <t>959*452*24</t>
  </si>
  <si>
    <t>P21-4A-006</t>
  </si>
  <si>
    <t>가죽패드,ZDD0021용</t>
  </si>
  <si>
    <t>1000*601*24(가죽마감후치수)</t>
  </si>
  <si>
    <t>P21-4A-031</t>
  </si>
  <si>
    <t>가죽패드,ZDP용</t>
  </si>
  <si>
    <t>998*588*29</t>
  </si>
  <si>
    <t>A485A</t>
  </si>
  <si>
    <t>STCG002565-R000</t>
  </si>
  <si>
    <t>리프트업 메커니즘 488 (17KG)</t>
  </si>
  <si>
    <t>662*333*169</t>
  </si>
  <si>
    <t>WDWGMG0005724</t>
  </si>
  <si>
    <t>FDD5288N  상판+덕트(SPB)</t>
  </si>
  <si>
    <t>WDWW004789-R000</t>
  </si>
  <si>
    <t>가죽패드,ZDF0020/1025</t>
  </si>
  <si>
    <t>1000*559*22-로데스</t>
  </si>
  <si>
    <t>WDWW014811-R000</t>
  </si>
  <si>
    <t>A361</t>
  </si>
  <si>
    <t>가죽상판A A481(A361)(ZDQ0020/L/R/N/LN/RN)</t>
  </si>
  <si>
    <t>971*248*23.5 (가죽마감)</t>
  </si>
  <si>
    <t>A446</t>
  </si>
  <si>
    <t>가죽상판A A446(ZDQ0020/L/R/N/LN/RN)</t>
  </si>
  <si>
    <t>971*248*23.3 (가죽마감)</t>
  </si>
  <si>
    <t>WDWW014812-R000</t>
  </si>
  <si>
    <t>가죽상판B A481(A361)(ZDQ0020/L/R/N/LN/RN)</t>
  </si>
  <si>
    <t>971*692*23.5 (가죽마감)</t>
  </si>
  <si>
    <t>가죽상판B A446(ZDQ0020/L/R/N/LN/RN)</t>
  </si>
  <si>
    <t>971*692*23.3 (가죽마감)</t>
  </si>
  <si>
    <t>WDWW112573-R000</t>
  </si>
  <si>
    <t>HL71Y12MEL,HL72Y12MEL 상판A(가공&amp;도장)</t>
  </si>
  <si>
    <t>790.5*540*18</t>
  </si>
  <si>
    <t>WDWW112574-R000</t>
  </si>
  <si>
    <t>HL71Y12MEL,HL72Y12MEL 상판B(가공&amp;도장)</t>
  </si>
  <si>
    <t>387.5*540*18</t>
  </si>
  <si>
    <t>WDWW112575-R000</t>
  </si>
  <si>
    <t>HL71Y12EEL,HL72Y12EEL 상판A(가공&amp;도장)</t>
  </si>
  <si>
    <t>1180*434*18</t>
  </si>
  <si>
    <t>WDWW128267-R000</t>
  </si>
  <si>
    <t>HL70Y12MELN 상판A (가공및도장)</t>
  </si>
  <si>
    <t>WDWW128268-R000</t>
  </si>
  <si>
    <t>HL70Y12MELN 상판B (가공및도장)</t>
  </si>
  <si>
    <t>WDWW128269-R000</t>
  </si>
  <si>
    <t>HL70Y12EELN 상판A (가공및도장)</t>
  </si>
  <si>
    <t>WDWW128270-R000</t>
  </si>
  <si>
    <t>HL70Y12EELN 상판B (가공및도장)</t>
  </si>
  <si>
    <t>P52-0M-111</t>
  </si>
  <si>
    <t>NCE</t>
  </si>
  <si>
    <t>접착,MDF E0 4.5t 국산 무늬목/- NCE (2140*970)</t>
  </si>
  <si>
    <t>(주)신흥</t>
  </si>
  <si>
    <t>2140*970*4.5</t>
  </si>
  <si>
    <t>WDWGMG0003791</t>
  </si>
  <si>
    <t>접착,SPB E0 28t 국산 무늬목/- NCE/-(단면)</t>
  </si>
  <si>
    <t>WDWP000883-R000</t>
  </si>
  <si>
    <t>SPB 하도코팅 투명/0 28T(E0)</t>
  </si>
  <si>
    <t>WDWP000885-R000</t>
  </si>
  <si>
    <t>접착,MDF E0 18t 국산 백색코팅/O WH</t>
  </si>
  <si>
    <t>ETFS000130-R000</t>
  </si>
  <si>
    <t>6.5*15</t>
  </si>
  <si>
    <t>주식회사 백향</t>
  </si>
  <si>
    <t>6.5X30</t>
  </si>
  <si>
    <t>ETFS000316-R000</t>
  </si>
  <si>
    <t>볼트,접시 M4*12 BK</t>
  </si>
  <si>
    <t>FLAT  BLACK  M/S  4*12</t>
  </si>
  <si>
    <t>ETFS002224-R000</t>
  </si>
  <si>
    <t>볼트,와셔 M4*30 BK</t>
  </si>
  <si>
    <t>M4*30 BK</t>
  </si>
  <si>
    <t>ETHW000318-R000</t>
  </si>
  <si>
    <t>WDWP000238-R000</t>
  </si>
  <si>
    <t>SPB E0,18t 국산 4'*8'</t>
  </si>
  <si>
    <t>WDWP000239-R000</t>
  </si>
  <si>
    <t>SPB E0,22t 국산 4'*8'</t>
  </si>
  <si>
    <t>4*8*22MM</t>
  </si>
  <si>
    <t>WDWP000241-R000</t>
  </si>
  <si>
    <t>SPB E0,28t 국산 4'*8'</t>
  </si>
  <si>
    <t>4*8*28MM</t>
  </si>
  <si>
    <t>PPBX009354-R000</t>
  </si>
  <si>
    <t>ZR1016BH 포장박스</t>
  </si>
  <si>
    <t>780*780*700 SW A표준형</t>
  </si>
  <si>
    <t>PPBX014739-R000</t>
  </si>
  <si>
    <t>HL72Y12EEL 포장박스</t>
  </si>
  <si>
    <t>1185*745*185 DW T1형</t>
  </si>
  <si>
    <t>업체명</t>
  </si>
  <si>
    <t>색상코드</t>
  </si>
  <si>
    <t>재고수량</t>
    <phoneticPr fontId="3" type="noConversion"/>
  </si>
  <si>
    <t>비고</t>
    <phoneticPr fontId="3" type="noConversion"/>
  </si>
  <si>
    <t>※ 사업장별 자재 보관 업체 리스트</t>
    <phoneticPr fontId="3" type="noConversion"/>
  </si>
  <si>
    <t>안성</t>
    <phoneticPr fontId="3" type="noConversion"/>
  </si>
  <si>
    <t>충주1</t>
    <phoneticPr fontId="3" type="noConversion"/>
  </si>
  <si>
    <t>충주2</t>
    <phoneticPr fontId="3" type="noConversion"/>
  </si>
  <si>
    <t>다진</t>
  </si>
  <si>
    <t>대울</t>
  </si>
  <si>
    <t>엘디자인</t>
  </si>
  <si>
    <t>동영소파산업</t>
  </si>
  <si>
    <t>동오정밀</t>
  </si>
  <si>
    <t>퍼니엠</t>
  </si>
  <si>
    <t>동진다이캐스팅</t>
  </si>
  <si>
    <t>동화산업</t>
  </si>
  <si>
    <t>리낙코리아</t>
  </si>
  <si>
    <t>에픽</t>
    <phoneticPr fontId="3" type="noConversion"/>
  </si>
  <si>
    <t>새한솔루텍</t>
    <phoneticPr fontId="3" type="noConversion"/>
  </si>
  <si>
    <t>새한주식회사</t>
    <phoneticPr fontId="3" type="noConversion"/>
  </si>
  <si>
    <t>세원일렉</t>
  </si>
  <si>
    <t>승우플라텍</t>
  </si>
  <si>
    <t>승호정밀</t>
  </si>
  <si>
    <t>안진테크</t>
  </si>
  <si>
    <t>에이스테크</t>
  </si>
  <si>
    <t>백향</t>
  </si>
  <si>
    <t>와이제이티</t>
  </si>
  <si>
    <t>유진기공</t>
  </si>
  <si>
    <t>이화하이테크</t>
  </si>
  <si>
    <t>인퍼니처</t>
  </si>
  <si>
    <t>정미테크</t>
  </si>
  <si>
    <t>진산기업</t>
  </si>
  <si>
    <t>창진금속</t>
  </si>
  <si>
    <t>더원퍼니처</t>
  </si>
  <si>
    <t>토탈공예</t>
  </si>
  <si>
    <t>아이맥스가구</t>
  </si>
  <si>
    <t>프레스코</t>
  </si>
  <si>
    <t>프리마</t>
  </si>
  <si>
    <t>필리아테크놀로지</t>
  </si>
  <si>
    <t>시템퍼니처</t>
  </si>
  <si>
    <t>현성</t>
  </si>
  <si>
    <t>혜성정공</t>
  </si>
  <si>
    <t>휴먼하이텍</t>
  </si>
  <si>
    <t>ETCS000256-R000</t>
  </si>
  <si>
    <t>링,고무 H30 BK</t>
  </si>
  <si>
    <t>Φ12 * 20</t>
  </si>
  <si>
    <t>전자키,엣지 서랍 일반 ASS'Y (A형) BK</t>
  </si>
  <si>
    <t>ETEP000135-R000</t>
  </si>
  <si>
    <t>키,디지털 버튼키 피스 포함(GPN030XHE)번호서람 PL형</t>
  </si>
  <si>
    <t>ETET001786-R000</t>
  </si>
  <si>
    <t>거울,옷장 3t*300*300</t>
  </si>
  <si>
    <t>300*300*3T</t>
  </si>
  <si>
    <t>케이싱,15T Ø20용 BLK</t>
  </si>
  <si>
    <t>케이싱,스크류 Ø20 WH</t>
  </si>
  <si>
    <t>ETHW000350-R000</t>
  </si>
  <si>
    <t>힌지,아웃도어 댐핑-실린더타입(STSGWW0000007)</t>
  </si>
  <si>
    <t>SALICE C766AE9(댐핑)</t>
  </si>
  <si>
    <t>ETHW000351-R000</t>
  </si>
  <si>
    <t>힌지,인도어 댐핑-실린더타입(STSGWW0000008)</t>
  </si>
  <si>
    <t>SALICE C766PE9(댐핑)</t>
  </si>
  <si>
    <t>ETHW000388-R000</t>
  </si>
  <si>
    <t>MP,일자형 H=3 (STEGHG0000003)</t>
  </si>
  <si>
    <t>ETHW000434-R000</t>
  </si>
  <si>
    <t>실린더,SMOVE DI8000 (IREX) DG</t>
  </si>
  <si>
    <t>DI8000</t>
  </si>
  <si>
    <t>ETHW000486-R000</t>
  </si>
  <si>
    <t>레일,JW-450 350  측판용</t>
  </si>
  <si>
    <t>350mm (좌/우 1조)</t>
  </si>
  <si>
    <t>ETHW000487-R000</t>
  </si>
  <si>
    <t>레일,JW-450 450  측판용</t>
  </si>
  <si>
    <t>450mm (좌/우 1조)</t>
  </si>
  <si>
    <t>ETHW000491-R000</t>
  </si>
  <si>
    <t>레일,JW-450 300  측판용 BK</t>
  </si>
  <si>
    <t>300mm(좌/우 1조)</t>
  </si>
  <si>
    <t>ETHW000492-R000</t>
  </si>
  <si>
    <t>레일,JW-450 300  속서랍용 BK</t>
  </si>
  <si>
    <t>ETHW000508-R000</t>
  </si>
  <si>
    <t>힌지,신형 (W23-1H-201)</t>
  </si>
  <si>
    <t>ETHW000510-R000</t>
  </si>
  <si>
    <t>힌지,인도어SALICE (W23-1H-204)</t>
  </si>
  <si>
    <t>ETHW000514-R000</t>
  </si>
  <si>
    <t>MP,일자형 H=6 (W23-1H-210A)</t>
  </si>
  <si>
    <t>ETHW000541-R000</t>
  </si>
  <si>
    <t>레일,헤티댐핑 25HD 350L (W23-1R-521L)</t>
  </si>
  <si>
    <t>ETHW000542-R000</t>
  </si>
  <si>
    <t>레일,헤티댐핑 25HD 350R (W23-1R-521R)</t>
  </si>
  <si>
    <t>새한주식회사</t>
  </si>
  <si>
    <t>ETHW000554-R000</t>
  </si>
  <si>
    <t>캐스터,L형 일방향 WHT(SX)_스토퍼포함</t>
  </si>
  <si>
    <t>98*91*31.5</t>
  </si>
  <si>
    <t>ETHW000555-R000</t>
  </si>
  <si>
    <t>캐스터,R형 일방향 WHT(DX)_스토퍼포함</t>
  </si>
  <si>
    <t>ETHW001017-R000</t>
  </si>
  <si>
    <t>IL1 선반 서포터 NI</t>
  </si>
  <si>
    <t>주식회사 제일금속</t>
  </si>
  <si>
    <t>Φ7×13, M4×8(헤펠레:282.39.7</t>
  </si>
  <si>
    <t>ETHW001030-R000</t>
  </si>
  <si>
    <t>MP 커버 NI (SALICE)</t>
  </si>
  <si>
    <t>S2MX83H9SN</t>
  </si>
  <si>
    <t>ETHW001285-R000</t>
  </si>
  <si>
    <t>레일,헤티 25HD 400L (W23-1R-522L)</t>
  </si>
  <si>
    <t>ETHW001286-R000</t>
  </si>
  <si>
    <t>레일,헤티 25HD 400R (W23-1R-522R)</t>
  </si>
  <si>
    <t>레일,한독 450 측판용 CR (MXXX2501014)</t>
  </si>
  <si>
    <t>레일,한독 450 속서랍용 CR (MXXX2501015)</t>
  </si>
  <si>
    <t>INNER_x0000__x0000__x0000_</t>
  </si>
  <si>
    <t>손잡이,사각 BG</t>
  </si>
  <si>
    <t>NSNW000916-R000</t>
  </si>
  <si>
    <t>커넥터,일자형 LFXXXX</t>
  </si>
  <si>
    <t>24.2*12*25</t>
  </si>
  <si>
    <t>NSNW000917-R000</t>
  </si>
  <si>
    <t>프레임,A 617</t>
  </si>
  <si>
    <t>L:617</t>
  </si>
  <si>
    <t>NSNW000918-R000</t>
  </si>
  <si>
    <t>프레임,B 1217</t>
  </si>
  <si>
    <t>L:1217</t>
  </si>
  <si>
    <t>NSNW001387-R000</t>
  </si>
  <si>
    <t>옷걸이봉, 555(소켓 제외) SV</t>
  </si>
  <si>
    <t>L:555(소켓제외)</t>
  </si>
  <si>
    <t>NSNW001838-R000</t>
  </si>
  <si>
    <t>엣지,평 2*21 CGYM (WT)</t>
  </si>
  <si>
    <t>엣지, 2*21 GU (TPP787)</t>
  </si>
  <si>
    <t>2mmX21mm GU</t>
  </si>
  <si>
    <t>엣지, 평 2*21 LUW</t>
  </si>
  <si>
    <t>2mmX21mm LUW</t>
  </si>
  <si>
    <t>엣지, ABS 2*21 RCN (밀레르게)</t>
  </si>
  <si>
    <t>엣지,평 1*19 BI</t>
  </si>
  <si>
    <t>1MM*19MM</t>
  </si>
  <si>
    <t>엣지,ABS 1*19 OAT (엠보:CS-016M)</t>
  </si>
  <si>
    <t>엣지,평 1*19 OS</t>
  </si>
  <si>
    <t>엣지,평 1*21 CGYM (WT)</t>
  </si>
  <si>
    <t>엣지, 평 1*21 FK (WT)</t>
  </si>
  <si>
    <t>1mmX21mm FK (WT)</t>
  </si>
  <si>
    <t>엣지,평 1*21 TS</t>
  </si>
  <si>
    <t>엣지,평 1*26 FIV</t>
  </si>
  <si>
    <t>엣지,ABS 1*26 OAT (엠보:CS-016M)</t>
  </si>
  <si>
    <t xml:space="preserve">엣지, ABS 2*26 OHN (엠보:CS-023M) </t>
  </si>
  <si>
    <t>엣지, ABS 2*26 RCN (엠보:CS-023M)</t>
  </si>
  <si>
    <t>글라이드,통합 50 BK</t>
  </si>
  <si>
    <t>OPPW001713-R000</t>
  </si>
  <si>
    <t>키걸이,신형 CLS (SWS)</t>
  </si>
  <si>
    <t>70*20*10</t>
  </si>
  <si>
    <t>OPPW001851-R000</t>
  </si>
  <si>
    <t>속서랍 600 INNER(전착도장)조립 BK</t>
  </si>
  <si>
    <t>(재생레진)INNER 조립입고</t>
  </si>
  <si>
    <t>OPPW002045-R000</t>
  </si>
  <si>
    <t>손잡이,사물함</t>
  </si>
  <si>
    <t>반투명 BK</t>
  </si>
  <si>
    <t>OPPW002048-R000</t>
  </si>
  <si>
    <t>손잡이,사물함 홀더</t>
  </si>
  <si>
    <t>OPPW002365-R000</t>
  </si>
  <si>
    <t>케이싱,미니픽스 18T용</t>
  </si>
  <si>
    <t>OPPW002385-R000</t>
  </si>
  <si>
    <t>높이조절볼트캡(알투스사양)</t>
  </si>
  <si>
    <t>OPPW002388-R000</t>
  </si>
  <si>
    <t>글라이드,S 45</t>
  </si>
  <si>
    <t>OPPW002401-R000</t>
  </si>
  <si>
    <t>KEKU,  헤펠레</t>
  </si>
  <si>
    <t>262.49.365</t>
  </si>
  <si>
    <t>OPPW002405-R000</t>
  </si>
  <si>
    <t>포인트볼,KP</t>
  </si>
  <si>
    <t>35*35*33</t>
  </si>
  <si>
    <t>포인트볼,KS</t>
  </si>
  <si>
    <t>OPPW002480-R000</t>
  </si>
  <si>
    <t>홀더,헤티레일 L</t>
  </si>
  <si>
    <t>OPPW002481-R000</t>
  </si>
  <si>
    <t>홀더,헤티레일 R</t>
  </si>
  <si>
    <t>Φ8*3.9</t>
  </si>
  <si>
    <t>Φ12*3.9</t>
  </si>
  <si>
    <t>OPPW006273-R000</t>
  </si>
  <si>
    <t>커버후드_플랫_15</t>
  </si>
  <si>
    <t>Φ17*3.9</t>
  </si>
  <si>
    <t>OPPW006274-R000</t>
  </si>
  <si>
    <t>라스텍스 커버 15</t>
  </si>
  <si>
    <t>Φ17*4.1</t>
  </si>
  <si>
    <t>OPPW006282-R000</t>
  </si>
  <si>
    <t>커버후드_플랫_10</t>
  </si>
  <si>
    <t>OPPW007647-R000</t>
  </si>
  <si>
    <t>일방향 캐스터 ASSY</t>
  </si>
  <si>
    <t>104.7*40.7*33</t>
  </si>
  <si>
    <t>OPPWED0000133</t>
  </si>
  <si>
    <t>엣지,ABS 1*26 NWW (엠보:CS-023M)</t>
  </si>
  <si>
    <t>STCG001258-R000</t>
  </si>
  <si>
    <t>브라켓,알투스 다리</t>
  </si>
  <si>
    <t>309*18*4</t>
  </si>
  <si>
    <t>STCG001345-R000</t>
  </si>
  <si>
    <t>리미터 H:26 BK</t>
  </si>
  <si>
    <t>56*18*26</t>
  </si>
  <si>
    <t>MP,일자형 H=3 (다이캐스팅+프래스타입)</t>
  </si>
  <si>
    <t>힌지,아웃도어 댐핑-실린더타입</t>
  </si>
  <si>
    <t>힌지,인도어 댐핑-실린더타입</t>
  </si>
  <si>
    <t>W21-1D-167</t>
  </si>
  <si>
    <t>걸이,수건 400 ㄷ자</t>
  </si>
  <si>
    <t>400*40*Φ10</t>
  </si>
  <si>
    <t>W21-1D-206</t>
  </si>
  <si>
    <t>손잡이,일룸</t>
  </si>
  <si>
    <t>W21-1D-243</t>
  </si>
  <si>
    <t>손잡이,D9 DG (P:128)</t>
  </si>
  <si>
    <t>W21-1D-828</t>
  </si>
  <si>
    <t>핀,덕트 (FR3용) NI</t>
  </si>
  <si>
    <t>21*3.3*7.4</t>
  </si>
  <si>
    <t>W21-1I-006</t>
  </si>
  <si>
    <t>서포트,측판  BKCR용</t>
  </si>
  <si>
    <t>CR용</t>
  </si>
  <si>
    <t>W21-1P-941</t>
  </si>
  <si>
    <t>파이프, 25*25각 보강 1547</t>
  </si>
  <si>
    <t>마감캡 제외(슈퍼테크)</t>
  </si>
  <si>
    <t>W21-1R-802A</t>
  </si>
  <si>
    <t>레일,JW-450 350  속서랍용</t>
  </si>
  <si>
    <t>W21-1R-803A</t>
  </si>
  <si>
    <t>레일,JW-450 450  속서랍용</t>
  </si>
  <si>
    <t>W21-3E-836A</t>
  </si>
  <si>
    <t>덕트,수평 SD 커버포함 1021 MM</t>
  </si>
  <si>
    <t>L:1021</t>
  </si>
  <si>
    <t>W21-3I-849D</t>
  </si>
  <si>
    <t>사이드캡,양면 배선덕트 (FD5용) WW</t>
  </si>
  <si>
    <t>108*38*35</t>
  </si>
  <si>
    <t>W22-3I-458</t>
  </si>
  <si>
    <t>마감캡,20*30(조인트)</t>
  </si>
  <si>
    <t>(주)유진기공</t>
  </si>
  <si>
    <t>W22-3I-473</t>
  </si>
  <si>
    <t>볼트,높이조절 M6*36 DD2</t>
  </si>
  <si>
    <t>안성규격(A21-3I-189)</t>
  </si>
  <si>
    <t>W23-1D-324</t>
  </si>
  <si>
    <t>손잡이,H6 청색</t>
  </si>
  <si>
    <t>W23-1H-123</t>
  </si>
  <si>
    <t>힌지,270</t>
  </si>
  <si>
    <t>W23-1H-124</t>
  </si>
  <si>
    <t>MP,270힌지</t>
  </si>
  <si>
    <t>MP,일자형 H=6</t>
  </si>
  <si>
    <t>W23-1K-221A</t>
  </si>
  <si>
    <t>SIMULTAN,A4 2단L 공용</t>
  </si>
  <si>
    <t>W23-1K-221B</t>
  </si>
  <si>
    <t>SIMULTAN,A4 2단R 공용</t>
  </si>
  <si>
    <t>W23-1P-100</t>
  </si>
  <si>
    <t>로드,A4 SL입고전용코드</t>
  </si>
  <si>
    <t>ESPAGNOLETTE ROD 8MM L:750</t>
  </si>
  <si>
    <t>W23-1R-514L</t>
  </si>
  <si>
    <t>레일,헤티댐핑 SFD/400L</t>
  </si>
  <si>
    <t>Quadro 25SFD/400(L)</t>
  </si>
  <si>
    <t>W23-1R-514R</t>
  </si>
  <si>
    <t>레일,헤티댐핑 SFD/400R</t>
  </si>
  <si>
    <t>Quadro 25SFD/400(R)</t>
  </si>
  <si>
    <t>W23-3I-103</t>
  </si>
  <si>
    <t>고정,로드 공용</t>
  </si>
  <si>
    <t>캐비넷 공용</t>
  </si>
  <si>
    <t>W51-0L-00001</t>
  </si>
  <si>
    <t>W51-0L-00086</t>
  </si>
  <si>
    <t>접착,PB E0 15t 수입 LPM/O DN (WT)</t>
  </si>
  <si>
    <t>접착,PB E0 18t 수입 LPM/O DN (WT)</t>
  </si>
  <si>
    <t>W51-0L-00090</t>
  </si>
  <si>
    <t>접착,PB E0 22t 수입 LPM/O DN (WT)</t>
  </si>
  <si>
    <t>W51-0L-00107A</t>
  </si>
  <si>
    <t>접착,MDF E0 22t 국산 LPM/O NCC (WT)</t>
  </si>
  <si>
    <t>W51-0L-1208</t>
  </si>
  <si>
    <t>접착,PB E0 15t 수입 LPM/O HBR</t>
  </si>
  <si>
    <t>W51-0L-1319C</t>
  </si>
  <si>
    <t>접착,PB E0 18t 수입 LPM/O HBR</t>
  </si>
  <si>
    <t>4*8*18 (Hakkai Brown)</t>
  </si>
  <si>
    <t>W51-0L-1319W</t>
  </si>
  <si>
    <t>4*6*18 (KD0076U)</t>
  </si>
  <si>
    <t>W51-0L-1319Z</t>
  </si>
  <si>
    <t>W51-0L-1581</t>
  </si>
  <si>
    <t>접착,PB E0 28t 수입 LPM/O LL</t>
  </si>
  <si>
    <t>주식회사 에코아이디</t>
  </si>
  <si>
    <t>W51-0L-296A</t>
  </si>
  <si>
    <t>접착,PB E0 22t 수입 LPM/O KS</t>
  </si>
  <si>
    <t>W51-0L-804C</t>
  </si>
  <si>
    <t>접착,PB E0 28t 국산 LPM/O 통합BK</t>
  </si>
  <si>
    <t>W52-0L-0018C</t>
  </si>
  <si>
    <t>접착,SPB E0 28t 국산 LPM/O FK (WT)</t>
  </si>
  <si>
    <t>W52-0L-0019</t>
  </si>
  <si>
    <t>W52-0L-0043</t>
  </si>
  <si>
    <t>4*8*18 (IP 049118/018)</t>
  </si>
  <si>
    <t>W52-0L-1011</t>
  </si>
  <si>
    <t>접착,MDF E0 18t 국산 LPM/O WW</t>
  </si>
  <si>
    <t>W52-0L-1012A</t>
  </si>
  <si>
    <t>접착,MDF E0 9t 국산 LPM/O IV</t>
  </si>
  <si>
    <t>4*8*9 (KD0076U)</t>
  </si>
  <si>
    <t>W52-0L-1123</t>
  </si>
  <si>
    <t>W52-0L-1136</t>
  </si>
  <si>
    <t>접착,SPB E0 28T 국산 LPM/O FK (WT)</t>
  </si>
  <si>
    <t>W52-0L-1285</t>
  </si>
  <si>
    <t>접착,PB E0 22t 수입 LPM/O NCC(WT)</t>
  </si>
  <si>
    <t>W52-0L-1290</t>
  </si>
  <si>
    <t>접착,PB E0 수입 18t LPM/O NCC(WT)</t>
  </si>
  <si>
    <t>WDPGBL0002348</t>
  </si>
  <si>
    <t>접착,PB E0 22t 수입 LPM/O GU (WT) _ 휨강도</t>
  </si>
  <si>
    <t>WDPGBL0002418</t>
  </si>
  <si>
    <t>접착,PB E0 22t 수입 LPM/O IV (ST) _ 휨강도</t>
  </si>
  <si>
    <t>WDPGBL0008376</t>
  </si>
  <si>
    <t>SE</t>
  </si>
  <si>
    <t>접착, PB E0 15t 수입 LPM/O SE</t>
  </si>
  <si>
    <t>WDPGBL0008536</t>
  </si>
  <si>
    <t>접착, PB E0 18t 수입 LPM/O SE</t>
  </si>
  <si>
    <t>WDPGBL0034136</t>
  </si>
  <si>
    <t>접착,SPB E0 22t 국산 LPM/O FK(WT)</t>
  </si>
  <si>
    <t>WDWP000035-R000</t>
  </si>
  <si>
    <t>접착,PB E0 12t 수입 LPM/0 SO(UK)</t>
  </si>
  <si>
    <t>접착,SPB E0 28t 국산 LPM/O SO (UK)</t>
  </si>
  <si>
    <t>접착,SPB E0 28t 국산 LPM/O SP(WT)</t>
  </si>
  <si>
    <t>접착,SPB E0 22t 국산 LPM/O SP</t>
  </si>
  <si>
    <t>접착,MDF E0 18t 국산 LPM/0 FIV (WT)</t>
  </si>
  <si>
    <t>접착,PB E0 15t 수입 LPM/O 통합BK</t>
  </si>
  <si>
    <t>접착,PB E0 15t 수입 LPM/O CGYM (WT)</t>
  </si>
  <si>
    <t>접착,PB E0 15t 수입 LPM/O HW (UK)</t>
  </si>
  <si>
    <t>KR</t>
  </si>
  <si>
    <t>접착,PB E0 15t 수입 LPM/O KR</t>
  </si>
  <si>
    <t>접착,PB E0 15t 수입 LPM/O MRB (UK)</t>
  </si>
  <si>
    <t>접착,PB E0 15t 수입 LPM/O TL (WT)</t>
  </si>
  <si>
    <t>접착,PB E0 28t 수입 LPM/O BUR (WT)</t>
  </si>
  <si>
    <t>접착,PB E0 28t 수입 LPM/O HW (UK)</t>
  </si>
  <si>
    <t>FKI</t>
  </si>
  <si>
    <t>접착,PB E0 22t 수입 LPM/O FKI(1면 이너트코팅)</t>
  </si>
  <si>
    <t>접착,PB E0 22t 수입 LPM/O HW (UK)</t>
  </si>
  <si>
    <t>접착,PB E0 22t 수입 LPM/O SE</t>
  </si>
  <si>
    <t>접착,PB E0 22t 수입 LPM/O OHN (UK)</t>
  </si>
  <si>
    <t>접착,PB E0 18t 수입 LPM/O UM</t>
  </si>
  <si>
    <t>WDWP002294-P000</t>
  </si>
  <si>
    <t>접착,PB E0 18t 수입 LPM/O OAT 6*8 (ST)</t>
  </si>
  <si>
    <t>2440*1830*18</t>
  </si>
  <si>
    <t>WDWP002295-P000</t>
  </si>
  <si>
    <t>접착,PB E0 22t 수입 LPM/O OAT 6*8 (ST)</t>
  </si>
  <si>
    <t>WDWPMF0000043</t>
  </si>
  <si>
    <t>접착,PB E0 28t 수입 LPM/O WGYS (DS)</t>
  </si>
  <si>
    <t>WDWPMF0000044</t>
  </si>
  <si>
    <t>접착,MDF E0 15t 국산 LPM/O WGYS (DS)</t>
  </si>
  <si>
    <t>WDWPMF0000078</t>
  </si>
  <si>
    <t>HY</t>
  </si>
  <si>
    <t>접착,MDF E0 18t 국산 LPM/0 HY (WT)</t>
  </si>
  <si>
    <t>WDWPMF0000096</t>
  </si>
  <si>
    <t>접착,PB E0 12t 수입 LPM/0 FK(WT)</t>
  </si>
  <si>
    <t>WDWPMF0000129</t>
  </si>
  <si>
    <t>접착,PB E0 18t 수입 LPM/0 KW (UK)</t>
  </si>
  <si>
    <t>4'*8'*18(샤트 14-20212-004)</t>
  </si>
  <si>
    <t>WDWPMF0000210</t>
  </si>
  <si>
    <t>접착,MDF E0 22T 국산 LPM/0 통합BK</t>
  </si>
  <si>
    <t>WDWPMF0000211</t>
  </si>
  <si>
    <t>접착,MDF E0 15t 국산 LPM/O SP (WT)</t>
  </si>
  <si>
    <t>WDWPMF0000280</t>
  </si>
  <si>
    <t>접착,MDF E0 22t 국산 LPM/0 SP (WT)</t>
  </si>
  <si>
    <t>WDWPMF0000412</t>
  </si>
  <si>
    <t>접착,MDF E0 18t 국산 LPM/O OAT(SM3)</t>
  </si>
  <si>
    <t>ETFS000080-R000</t>
  </si>
  <si>
    <t>나사,바인딩 5*30 WH</t>
  </si>
  <si>
    <t>ETFS000093-R000</t>
  </si>
  <si>
    <t>나사,바인딩 드릴링 4*15 NI</t>
  </si>
  <si>
    <t>4 X 15</t>
  </si>
  <si>
    <t>ETFS000103-R000</t>
  </si>
  <si>
    <t>나사,접시 3.5*12 NI</t>
  </si>
  <si>
    <t>FLAT  NIKEL  T/S-1   3.5*12</t>
  </si>
  <si>
    <t>나사,접시 3.5*35 BK</t>
  </si>
  <si>
    <t>3.5*35</t>
  </si>
  <si>
    <t>나사,접시 십자2 6.5*15</t>
  </si>
  <si>
    <t>ETFS000145-R000</t>
  </si>
  <si>
    <t>나사,둥근머리접시 4*15 NI</t>
  </si>
  <si>
    <t>4 x 15</t>
  </si>
  <si>
    <t>ETFS000204-R000</t>
  </si>
  <si>
    <t>시스템나사,접시 6.5*12 NI</t>
  </si>
  <si>
    <t>Φ6.5*12</t>
  </si>
  <si>
    <t>시스템나사,접시 6.5*35 BK</t>
  </si>
  <si>
    <t>6.5*35 BK</t>
  </si>
  <si>
    <t>시스템나사,접시 6.5*40 WH</t>
  </si>
  <si>
    <t>시스템나사,평머리 6.5*25 NI</t>
  </si>
  <si>
    <t>볼트,바인딩 M4*10 NI</t>
  </si>
  <si>
    <t>BIND  NIKEL  M/S  4*10</t>
  </si>
  <si>
    <t>ETFS000321-R000</t>
  </si>
  <si>
    <t>볼트,접시 M4*22 NI</t>
  </si>
  <si>
    <t>FLAT  NIKEL  M/S  4*22</t>
  </si>
  <si>
    <t>ETFS000542-R000</t>
  </si>
  <si>
    <t>볼트,평머리 M6*45 BK</t>
  </si>
  <si>
    <t>M6X45</t>
  </si>
  <si>
    <t>볼트,평머리 M6*45 NI</t>
  </si>
  <si>
    <t>M6x45</t>
  </si>
  <si>
    <t>ETFS000572-R000</t>
  </si>
  <si>
    <t>볼트,와셔 M4*12 BK 나이록</t>
  </si>
  <si>
    <t>R/W  BLACK  M/S  4*12</t>
  </si>
  <si>
    <t>ETFS000576-R000</t>
  </si>
  <si>
    <t>볼트,와셔 M4*22 NI 나이록</t>
  </si>
  <si>
    <t>M4*22</t>
  </si>
  <si>
    <t>ETFS000579-R000</t>
  </si>
  <si>
    <t>볼트,와셔 M4*25 NI 나이록</t>
  </si>
  <si>
    <t>R/W  NIKEL  M/S  4*25</t>
  </si>
  <si>
    <t>ETFS000880-R000</t>
  </si>
  <si>
    <t>너트,커넥팅 Ø8*25</t>
  </si>
  <si>
    <t>Φ8*25 (M6*14볼트사용)</t>
  </si>
  <si>
    <t>ETFS000946-R000</t>
  </si>
  <si>
    <t>볼트,미니픽스 34 ZN</t>
  </si>
  <si>
    <t>ETFS001014-R000</t>
  </si>
  <si>
    <t>볼트/너트,커넥팅 Ø5*15 / M4*15</t>
  </si>
  <si>
    <t>Ø5*15 / M4*15</t>
  </si>
  <si>
    <t>(주)일흥건영</t>
  </si>
  <si>
    <t>NSNW000954-R000</t>
  </si>
  <si>
    <t>옷걸이봉,758 DG (소켓제외)</t>
  </si>
  <si>
    <t>L:758</t>
  </si>
  <si>
    <t>NSNW000961-R000</t>
  </si>
  <si>
    <t>다보,A 15t용</t>
  </si>
  <si>
    <t>15T사양</t>
  </si>
  <si>
    <t>NSNW000962-R000</t>
  </si>
  <si>
    <t>다보,B 15t용</t>
  </si>
  <si>
    <t>커버후드,Ø5 BK</t>
  </si>
  <si>
    <t>OPPW002498-R000</t>
  </si>
  <si>
    <t>스페이서,270도 힌지 44*53*4</t>
  </si>
  <si>
    <t>44*53*4</t>
  </si>
  <si>
    <t>STCG001364-R000</t>
  </si>
  <si>
    <t>철물,상판 연결 CR2XXX</t>
  </si>
  <si>
    <t>W31-1H-455</t>
  </si>
  <si>
    <t>철물,뒷밴드 연결 18t용</t>
  </si>
  <si>
    <t>18T용</t>
  </si>
  <si>
    <t>W32-1P-385</t>
  </si>
  <si>
    <t>옷걸이봉,362 소켓포함</t>
  </si>
  <si>
    <t>L:362</t>
  </si>
  <si>
    <t>W33-3I-303</t>
  </si>
  <si>
    <t>롤러,슬라이드 HEC2018</t>
  </si>
  <si>
    <t>HETTICH-903690100</t>
  </si>
  <si>
    <t>범퍼,투명 2.5t CLS</t>
  </si>
  <si>
    <t>데코페이퍼,BK</t>
  </si>
  <si>
    <t>Interprint 社 Uni-Metallic</t>
  </si>
  <si>
    <t>IO</t>
  </si>
  <si>
    <t>데코페이퍼,IO</t>
  </si>
  <si>
    <t>CHIYODA EUROPA NV</t>
  </si>
  <si>
    <t>데코페이퍼,LT</t>
  </si>
  <si>
    <t>Interprint 社</t>
  </si>
  <si>
    <t>데코페이퍼,SO(DL-OM8)</t>
  </si>
  <si>
    <t>FF,FK(후함침)</t>
  </si>
  <si>
    <t>템바 PP FK 제결</t>
  </si>
  <si>
    <t>PPRPFF0000002</t>
  </si>
  <si>
    <t>FF,MAC 4"*0.12mm</t>
  </si>
  <si>
    <t>4'*0.12mm (후함침)</t>
  </si>
  <si>
    <t>PPRPFF0000009</t>
  </si>
  <si>
    <t>OML</t>
  </si>
  <si>
    <t>FF,OML (디자인로프트 DL OD16)</t>
  </si>
  <si>
    <t>4'*0.12mm (디자인로프트 DL OD1</t>
  </si>
  <si>
    <t>W11-0M-660</t>
  </si>
  <si>
    <t>MDF E0,4.5t 국산 FF/0 FIV</t>
  </si>
  <si>
    <t>W11-2B-126C</t>
  </si>
  <si>
    <t>SPB E0,22t 국산 5.3'*8'</t>
  </si>
  <si>
    <t>5.3*8*22</t>
  </si>
  <si>
    <t>W11-3V-348</t>
  </si>
  <si>
    <t>FF,FIV 4'*0.12mm</t>
  </si>
  <si>
    <t>W11-3V-354</t>
  </si>
  <si>
    <t>FF,GY 4'*0.12mm</t>
  </si>
  <si>
    <t>W12-0L-783</t>
  </si>
  <si>
    <t>GYA</t>
  </si>
  <si>
    <t>접착,PB E0 18t 수입 ASA/0 GYA</t>
  </si>
  <si>
    <t>WDPGMV0000084</t>
  </si>
  <si>
    <t>MDF E0, 4.5t 국산 FF/0 SO (E0)</t>
  </si>
  <si>
    <t>4'*8'*4.5t(디자인로프트 DL-OM3</t>
  </si>
  <si>
    <t>WDWP000255-R000</t>
  </si>
  <si>
    <t>WDWP000256-R000</t>
  </si>
  <si>
    <t>PB E0,22t 수입 4'*8'</t>
  </si>
  <si>
    <t>4'*8'*22MM</t>
  </si>
  <si>
    <t>WDWP000817-R000</t>
  </si>
  <si>
    <t>MDF E0,9t 국산 4'*8'</t>
  </si>
  <si>
    <t>MDF E0,2.7t 국산 FF/0 OAT</t>
  </si>
  <si>
    <t>4'×8'×2.7</t>
  </si>
  <si>
    <t>MDF E0,2.7t 국산 FF/0 SP</t>
  </si>
  <si>
    <t>MDF E0,4.5t 국산 FF/0 OAT 4×7</t>
  </si>
  <si>
    <t>4*7*4.5</t>
  </si>
  <si>
    <t>WDWP001823-P000</t>
  </si>
  <si>
    <t>접착,SPB E0 22t 국산 LPM/O+일면 이너트코팅 FK</t>
  </si>
  <si>
    <t>WDWP001851-R000</t>
  </si>
  <si>
    <t>PB E0,15t 수입 4*6</t>
  </si>
  <si>
    <t>4*6*15</t>
  </si>
  <si>
    <t>WDWP002289-R000</t>
  </si>
  <si>
    <t>접착, SPB E0 22t 국산 LPM/O + 일면 이너트코팅 FKI 4*6</t>
  </si>
  <si>
    <t>WWI</t>
  </si>
  <si>
    <t>접착, SPB E0 22t 국산 LPM/O+일면이너트코팅WWI 4*6</t>
  </si>
  <si>
    <t>WDWP002317-R000</t>
  </si>
  <si>
    <t>접착,PB E0 22t 수입 LPM/O WWI (1면 이너트코팅)</t>
  </si>
  <si>
    <t>WDWP002318-R000</t>
  </si>
  <si>
    <t>PB E0, 15t 국산 PP/O FK 템바(제결)</t>
  </si>
  <si>
    <t>PB E0, 15t 국산 PP/O WW 템바(제결)</t>
  </si>
  <si>
    <t>WDWP002341-R000</t>
  </si>
  <si>
    <t>접착,MDF E0 15t 수입 LPM/O BGM (양면 이너트코팅)</t>
  </si>
  <si>
    <t>접착,MDF E0 15t 수입 LPM/O BUR (양면 이너트코팅)</t>
  </si>
  <si>
    <t>접착,MDF E0 15t 수입 LPM/O SE (양면 이너트코팅)</t>
  </si>
  <si>
    <t>WDWP002342-R000</t>
  </si>
  <si>
    <t>접착,SPB E0 28t 수입 LPM/O FK (일면 이너트코팅)</t>
  </si>
  <si>
    <t>접착,SPB E0 28t 수입 LPM/O SP (일면 이너트코팅)</t>
  </si>
  <si>
    <t>WDWPMF0000198</t>
  </si>
  <si>
    <t>접착,MDF E0 22t 국산 LPM/O+일면 이너트코팅 BKC</t>
  </si>
  <si>
    <t>2440*1220*22</t>
  </si>
  <si>
    <t>PPBX004999-R001</t>
  </si>
  <si>
    <t>FDA9012CNA 포장박스</t>
  </si>
  <si>
    <t>535*170*50 SW T1형</t>
  </si>
  <si>
    <t>PPBX008666-R000</t>
  </si>
  <si>
    <t>CBB0103PHE 포장박스</t>
  </si>
  <si>
    <t>610*495*120 SW H표준형</t>
  </si>
  <si>
    <t>C11-4A-446</t>
  </si>
  <si>
    <t>인조가죽,A446 PVC_IV08DB</t>
  </si>
  <si>
    <t>케이싱 스크류(통합사양) Ø20용</t>
  </si>
  <si>
    <t>5*25mm Ø20용</t>
  </si>
  <si>
    <t>ETHW000356-R000</t>
  </si>
  <si>
    <t>MP,일자형H=6 BAPGR69</t>
  </si>
  <si>
    <t>ETHW000369-R000</t>
  </si>
  <si>
    <t>레일,헤티 25HD/400(L) (W23-1R-522L)</t>
  </si>
  <si>
    <t>ETHW000370-R000</t>
  </si>
  <si>
    <t>레일,헤티 25HD/400(R) (W23-1R-522R)</t>
  </si>
  <si>
    <t>OPPW001913-R000</t>
  </si>
  <si>
    <t>캡,상판전선</t>
  </si>
  <si>
    <t>RHODES,CRX공용</t>
  </si>
  <si>
    <t>OPPW001921-R000</t>
  </si>
  <si>
    <t>글라이드,E-2</t>
  </si>
  <si>
    <t>635.83.310</t>
  </si>
  <si>
    <t>OPPW001926-R000</t>
  </si>
  <si>
    <t>브라켓,수직덕트  중역용</t>
  </si>
  <si>
    <t>OPPW001931-R000</t>
  </si>
  <si>
    <t>힌지,전선캡</t>
  </si>
  <si>
    <t>OPPW001984-R000</t>
  </si>
  <si>
    <t>커버,수직덕트 585</t>
  </si>
  <si>
    <t>L:585</t>
  </si>
  <si>
    <t>OPPW002004-R000</t>
  </si>
  <si>
    <t>홀더,헤티레일 L(헤티 입고-&gt;진산 판매)</t>
  </si>
  <si>
    <t>OPPW002005-R000</t>
  </si>
  <si>
    <t>홀더,헤티레일 R(헤티 입고-&gt;진산 판매)</t>
  </si>
  <si>
    <t>P21-3I-214</t>
  </si>
  <si>
    <t>홀더,양면 배선덕트 (FD5용)</t>
  </si>
  <si>
    <t>155*37.5*40.5(WW색상용)</t>
  </si>
  <si>
    <t>P21-4A-009</t>
  </si>
  <si>
    <t>가죽패드,ZDF0018</t>
  </si>
  <si>
    <t>900*559*22-로데스</t>
  </si>
  <si>
    <t>P23-1D-006</t>
  </si>
  <si>
    <t>AN</t>
  </si>
  <si>
    <t>손잡이,E10  체오스</t>
  </si>
  <si>
    <t>MN769Z96G150W0285(체오스)</t>
  </si>
  <si>
    <t>STCG001279-R000</t>
  </si>
  <si>
    <t>USB 커버 브라켓</t>
  </si>
  <si>
    <t>82.5*82.5*21.5</t>
  </si>
  <si>
    <t>STCG001515-R000</t>
  </si>
  <si>
    <t>하부가림판 철제밑판 GY (ZDY0000JL/ZDY0000JR)</t>
  </si>
  <si>
    <t>1510*746*3</t>
  </si>
  <si>
    <t>STCG001516-R000</t>
  </si>
  <si>
    <t>하부가림판 철제상판L ASSY GY (ZDY0000JL)</t>
  </si>
  <si>
    <t>1510*746*38</t>
  </si>
  <si>
    <t>WDWW004772-R000</t>
  </si>
  <si>
    <t>측판,체오스 FK (ZLD0000)</t>
  </si>
  <si>
    <t>792.5*386.5*78.5</t>
  </si>
  <si>
    <t>WDWW004778-R000</t>
  </si>
  <si>
    <t>측판,체오스 NCE (ZDD0000)</t>
  </si>
  <si>
    <t>934*685*67</t>
  </si>
  <si>
    <t>WDWW009997-R000</t>
  </si>
  <si>
    <t>가죽상판 A446(BK) (ZDI0020BN)</t>
  </si>
  <si>
    <t>1200*586*43 (가죽마감)</t>
  </si>
  <si>
    <t>WDWW130643-R000</t>
  </si>
  <si>
    <t>ZDD0000A 가림판(프레스+가공)</t>
  </si>
  <si>
    <t>WDWW140123-R000</t>
  </si>
  <si>
    <t>가죽패드,ZDD0021 A485A색비</t>
  </si>
  <si>
    <t>WDWW140132-R000</t>
  </si>
  <si>
    <t>커버,상판덕트 ZDD0021색비 A485A</t>
  </si>
  <si>
    <t>461*89*_x0000__x0000__x0000__x0000_</t>
  </si>
  <si>
    <t>P51-0L-9999A</t>
  </si>
  <si>
    <t>AWL</t>
  </si>
  <si>
    <t>접착,SPB E0 28t 국산 LPM/- AWL (단면)</t>
  </si>
  <si>
    <t>WDPGBL0014371</t>
  </si>
  <si>
    <t>OGG</t>
  </si>
  <si>
    <t>접착,MDF E0 4.5t 국산 무늬목/- OGG/(단면)</t>
  </si>
  <si>
    <t>WDWP000954-R000</t>
  </si>
  <si>
    <t>부직포 접착,무늬목,MN13.491 (430*840)_엇결</t>
  </si>
  <si>
    <t>430*840*0.5</t>
  </si>
  <si>
    <t>WDWP000955-R000</t>
  </si>
  <si>
    <t>부직포 접착,무늬목,MN13.491 (1400*600)</t>
  </si>
  <si>
    <t>1400*600*0.5</t>
  </si>
  <si>
    <t>WDWP000956-R000</t>
  </si>
  <si>
    <t>부직포 접착,무늬목,MN13.491 (580*550)</t>
  </si>
  <si>
    <t>580*550*0.5</t>
  </si>
  <si>
    <t>WDWP000957-R000</t>
  </si>
  <si>
    <t>부직포 접착,무늬목,MN13.491 (630*630)</t>
  </si>
  <si>
    <t>630*630*0.5</t>
  </si>
  <si>
    <t>ETCS000220-R000</t>
  </si>
  <si>
    <t>범퍼,투명  2.5T</t>
  </si>
  <si>
    <t>2.5T 투명</t>
  </si>
  <si>
    <t>ETFS000112-R000</t>
  </si>
  <si>
    <t>나사, 접시 3.5*45 BK</t>
  </si>
  <si>
    <t>ETFS000138-R000</t>
  </si>
  <si>
    <t>나사,접시 6.5*60 BK</t>
  </si>
  <si>
    <t>FLAT  BLACK  T/S-2  6.5*60</t>
  </si>
  <si>
    <t>ETFS000196-R000</t>
  </si>
  <si>
    <t>시스템나사,바인딩 6.5*20 BK</t>
  </si>
  <si>
    <t>6.5*20</t>
  </si>
  <si>
    <t>ETFS000232-R000</t>
  </si>
  <si>
    <t>시스템나사,평머리 6.5*30</t>
  </si>
  <si>
    <t>ETFS000233-R000</t>
  </si>
  <si>
    <t>시스템나사,평머리 6.5*45 BK</t>
  </si>
  <si>
    <t>6.5*45</t>
  </si>
  <si>
    <t>볼트,접시 M4*12</t>
  </si>
  <si>
    <t>FLAT  NIKEL  M/S  4*12</t>
  </si>
  <si>
    <t>볼트,평머리 M6*35 BK</t>
  </si>
  <si>
    <t>ETFS000580-R000</t>
  </si>
  <si>
    <t>볼트,와셔 M4*35 BK</t>
  </si>
  <si>
    <t>R/W  BLACK  M/S  4*35</t>
  </si>
  <si>
    <t>ETFS001271-R000</t>
  </si>
  <si>
    <t>미니픽스,18t용  BK</t>
  </si>
  <si>
    <t>ETFS001274-R000</t>
  </si>
  <si>
    <t>L:24MM</t>
  </si>
  <si>
    <t>OPPW002017-R000</t>
  </si>
  <si>
    <t>스무브, 회전도어(HP60D05ENL)</t>
  </si>
  <si>
    <t>P41-6BZBC00</t>
  </si>
  <si>
    <t>마감블록,320 ZBC1062</t>
  </si>
  <si>
    <t>320*90*60 SW 마감블럭형</t>
  </si>
  <si>
    <t>PPBX001998-R000</t>
  </si>
  <si>
    <t>마감블록,605 ZBF1062/ZBD1062</t>
  </si>
  <si>
    <t>605*90*60 SW 마감블럭형</t>
  </si>
  <si>
    <t>PPBX006399-R000</t>
  </si>
  <si>
    <t>ZDY0000JL 포장박스</t>
  </si>
  <si>
    <t>1650*445*515 DW H표준형</t>
  </si>
  <si>
    <t>PPBX006400-R000</t>
  </si>
  <si>
    <t>ZDY0000JR 포장박스</t>
  </si>
  <si>
    <t>PPBX009485-R000</t>
  </si>
  <si>
    <t>1650*445*515 SW H표준형</t>
  </si>
  <si>
    <t>PPBX009486-R000</t>
  </si>
  <si>
    <t>PPBX009537-R000</t>
  </si>
  <si>
    <t>ZDD0000A 포장박스</t>
  </si>
  <si>
    <t>2030*670*130 SW H표준형</t>
  </si>
  <si>
    <t>송아퍼니처</t>
  </si>
  <si>
    <t>신흥</t>
  </si>
  <si>
    <t>백향</t>
    <phoneticPr fontId="3" type="noConversion"/>
  </si>
  <si>
    <t>유진퍼니처</t>
  </si>
  <si>
    <t>엘에스에프</t>
  </si>
  <si>
    <t>제일퍼니처</t>
  </si>
  <si>
    <t>정운시스템</t>
    <phoneticPr fontId="3" type="noConversion"/>
  </si>
  <si>
    <t>보넨스</t>
  </si>
  <si>
    <t>신일퍼니처</t>
  </si>
  <si>
    <t>노모코리아</t>
    <phoneticPr fontId="3" type="noConversion"/>
  </si>
  <si>
    <t>올품퍼니처</t>
  </si>
  <si>
    <t>크라텍</t>
    <phoneticPr fontId="3" type="noConversion"/>
  </si>
  <si>
    <t>메닉스</t>
    <phoneticPr fontId="3" type="noConversion"/>
  </si>
  <si>
    <t>금용티앤씨</t>
  </si>
  <si>
    <t>유테크</t>
    <phoneticPr fontId="3" type="noConversion"/>
  </si>
  <si>
    <t>■ 재고자산 확인서 ('25년 09월 30일 기준)</t>
    <phoneticPr fontId="3" type="noConversion"/>
  </si>
  <si>
    <t>합계</t>
  </si>
  <si>
    <t xml:space="preserve"> Z열에서 원하는 업체를 선택하세요 →</t>
    <phoneticPr fontId="3" type="noConversion"/>
  </si>
  <si>
    <t>퍼시스충주2공장</t>
  </si>
  <si>
    <t>(주)신흥 (인)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</si>
</sst>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38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8" fontId="5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2" borderId="2" xfId="0" applyFont="1" applyFill="1" applyBorder="1" applyAlignment="1">
      <alignment horizontal="center" vertical="center"/>
    </xf>
    <xf numFmtId="38" fontId="6" fillId="2" borderId="2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41" fontId="2" fillId="0" borderId="4" xfId="1" applyFont="1" applyBorder="1">
      <alignment vertical="center"/>
    </xf>
    <xf numFmtId="0" fontId="2" fillId="0" borderId="4" xfId="1" applyNumberFormat="1" applyFont="1" applyBorder="1">
      <alignment vertical="center"/>
    </xf>
    <xf numFmtId="41" fontId="2" fillId="0" borderId="5" xfId="1" applyFont="1" applyFill="1" applyBorder="1">
      <alignment vertical="center"/>
    </xf>
    <xf numFmtId="0" fontId="2" fillId="0" borderId="6" xfId="1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1" fontId="2" fillId="3" borderId="5" xfId="1" applyFont="1" applyFill="1" applyBorder="1">
      <alignment vertical="center"/>
    </xf>
    <xf numFmtId="41" fontId="2" fillId="0" borderId="7" xfId="1" applyFont="1" applyBorder="1">
      <alignment vertical="center"/>
    </xf>
    <xf numFmtId="0" fontId="2" fillId="0" borderId="7" xfId="1" applyNumberFormat="1" applyFont="1" applyBorder="1">
      <alignment vertical="center"/>
    </xf>
    <xf numFmtId="41" fontId="2" fillId="0" borderId="8" xfId="1" applyFont="1" applyBorder="1">
      <alignment vertical="center"/>
    </xf>
    <xf numFmtId="0" fontId="2" fillId="0" borderId="9" xfId="1" applyNumberFormat="1" applyFont="1" applyFill="1" applyBorder="1" applyAlignment="1">
      <alignment horizontal="left" vertical="center"/>
    </xf>
    <xf numFmtId="41" fontId="2" fillId="0" borderId="9" xfId="1" applyFont="1" applyBorder="1">
      <alignment vertical="center"/>
    </xf>
    <xf numFmtId="0" fontId="2" fillId="0" borderId="4" xfId="1" applyNumberFormat="1" applyFont="1" applyFill="1" applyBorder="1">
      <alignment vertical="center"/>
    </xf>
    <xf numFmtId="41" fontId="2" fillId="0" borderId="4" xfId="1" applyFont="1" applyFill="1" applyBorder="1">
      <alignment vertical="center"/>
    </xf>
    <xf numFmtId="41" fontId="2" fillId="3" borderId="4" xfId="1" applyFont="1" applyFill="1" applyBorder="1">
      <alignment vertical="center"/>
    </xf>
    <xf numFmtId="0" fontId="0" fillId="0" borderId="2" xfId="0" applyBorder="1">
      <alignment vertical="center"/>
    </xf>
    <xf numFmtId="0" fontId="0" fillId="4" borderId="2" xfId="0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7" fillId="0" borderId="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347383</xdr:colOff>
      <xdr:row>1</xdr:row>
      <xdr:rowOff>56030</xdr:rowOff>
    </xdr:from>
    <xdr:to>
      <xdr:col>10</xdr:col>
      <xdr:colOff>0</xdr:colOff>
      <xdr:row>3</xdr:row>
      <xdr:rowOff>89647</xdr:rowOff>
    </xdr:to>
    <xdr:sp macro="[0]!재고자산확인서_내용생성" textlink="">
      <xdr:nvSpPr>
        <xdr:cNvPr id="2" name="직사각형 1">
          <a:extLst>
            <a:ext uri="{FF2B5EF4-FFF2-40B4-BE49-F238E27FC236}">
              <a16:creationId xmlns:a16="http://schemas.microsoft.com/office/drawing/2014/main" id="{DDE239B7-33F8-4320-71CF-E79A4445FAD5}"/>
            </a:ext>
          </a:extLst>
        </xdr:cNvPr>
        <xdr:cNvSpPr/>
      </xdr:nvSpPr>
      <xdr:spPr>
        <a:xfrm>
          <a:off x="9267265" y="280148"/>
          <a:ext cx="1669676" cy="593911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업체 선택</a:t>
          </a:r>
        </a:p>
      </xdr:txBody>
    </xdr:sp>
    <xdr:clientData/>
  </xdr:twoCellAnchor>
  <xdr:twoCellAnchor>
    <xdr:from>
      <xdr:col>7</xdr:col>
      <xdr:colOff>347383</xdr:colOff>
      <xdr:row>4</xdr:row>
      <xdr:rowOff>44823</xdr:rowOff>
    </xdr:from>
    <xdr:to>
      <xdr:col>9</xdr:col>
      <xdr:colOff>627530</xdr:colOff>
      <xdr:row>5</xdr:row>
      <xdr:rowOff>212911</xdr:rowOff>
    </xdr:to>
    <xdr:sp macro="[0]!재고자산확인서_엑셀_PDF_통합저장" textlink="">
      <xdr:nvSpPr>
        <xdr:cNvPr id="3" name="직사각형 2">
          <a:extLst>
            <a:ext uri="{FF2B5EF4-FFF2-40B4-BE49-F238E27FC236}">
              <a16:creationId xmlns:a16="http://schemas.microsoft.com/office/drawing/2014/main" id="{6F2D9FCE-5C40-5135-34B9-6AE943EBAB72}"/>
            </a:ext>
          </a:extLst>
        </xdr:cNvPr>
        <xdr:cNvSpPr/>
      </xdr:nvSpPr>
      <xdr:spPr>
        <a:xfrm>
          <a:off x="9267265" y="1075764"/>
          <a:ext cx="1624853" cy="414618"/>
        </a:xfrm>
        <a:prstGeom prst="rect">
          <a:avLst/>
        </a:prstGeom>
        <a:solidFill>
          <a:srgbClr val="FFFF0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저장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D8EA7-F76B-4EDF-8082-CBF21F4E78A4}">
  <sheetPr codeName="Sheet1"/>
  <dimension ref="A1:O1697"/>
  <sheetViews>
    <sheetView workbookViewId="0">
      <selection activeCell="G17" sqref="G17"/>
    </sheetView>
  </sheetViews>
  <sheetFormatPr defaultRowHeight="16.5" x14ac:dyDescent="0.3"/>
  <cols>
    <col min="2" max="15" width="10.625" customWidth="1"/>
  </cols>
  <sheetData>
    <row r="1" spans="1:15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">
      <c r="A2" t="str">
        <f>C2&amp;"-"&amp;D2</f>
        <v>ETCS000216-R000-XX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>
        <v>0</v>
      </c>
      <c r="I2">
        <v>800</v>
      </c>
      <c r="J2">
        <v>3560</v>
      </c>
      <c r="K2">
        <v>2848000</v>
      </c>
      <c r="L2">
        <v>0</v>
      </c>
      <c r="M2">
        <v>2848000</v>
      </c>
      <c r="N2" t="s">
        <v>20</v>
      </c>
      <c r="O2" t="s">
        <v>21</v>
      </c>
    </row>
    <row r="3" spans="1:15" x14ac:dyDescent="0.3">
      <c r="A3" t="str">
        <f t="shared" ref="A3:A66" si="0">C3&amp;"-"&amp;D3</f>
        <v>ETCS000216-R000-XX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22</v>
      </c>
      <c r="H3">
        <v>0</v>
      </c>
      <c r="I3">
        <v>2</v>
      </c>
      <c r="J3">
        <v>3920</v>
      </c>
      <c r="K3">
        <v>7840</v>
      </c>
      <c r="L3">
        <v>0</v>
      </c>
      <c r="M3">
        <v>7840</v>
      </c>
      <c r="N3" t="s">
        <v>20</v>
      </c>
      <c r="O3" t="s">
        <v>21</v>
      </c>
    </row>
    <row r="4" spans="1:15" x14ac:dyDescent="0.3">
      <c r="A4" t="str">
        <f t="shared" si="0"/>
        <v>ETCS000216-R000-XX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23</v>
      </c>
      <c r="H4">
        <v>0</v>
      </c>
      <c r="I4">
        <v>1350</v>
      </c>
      <c r="J4">
        <v>3560</v>
      </c>
      <c r="K4">
        <v>4806000</v>
      </c>
      <c r="L4">
        <v>0</v>
      </c>
      <c r="M4">
        <v>4806000</v>
      </c>
      <c r="N4" t="s">
        <v>20</v>
      </c>
      <c r="O4" t="s">
        <v>21</v>
      </c>
    </row>
    <row r="5" spans="1:15" x14ac:dyDescent="0.3">
      <c r="A5" t="str">
        <f t="shared" si="0"/>
        <v>ETCS000217-R000-XX</v>
      </c>
      <c r="B5" t="s">
        <v>14</v>
      </c>
      <c r="C5" t="s">
        <v>24</v>
      </c>
      <c r="D5" t="s">
        <v>16</v>
      </c>
      <c r="E5" t="s">
        <v>25</v>
      </c>
      <c r="F5" t="s">
        <v>18</v>
      </c>
      <c r="G5" t="s">
        <v>29</v>
      </c>
      <c r="H5">
        <v>0</v>
      </c>
      <c r="I5">
        <v>200</v>
      </c>
      <c r="J5">
        <v>3640</v>
      </c>
      <c r="K5">
        <v>728000</v>
      </c>
      <c r="L5">
        <v>0</v>
      </c>
      <c r="M5">
        <v>728000</v>
      </c>
      <c r="O5" t="s">
        <v>21</v>
      </c>
    </row>
    <row r="6" spans="1:15" x14ac:dyDescent="0.3">
      <c r="A6" t="str">
        <f t="shared" si="0"/>
        <v>ETCS000256-R000-BK</v>
      </c>
      <c r="B6" t="s">
        <v>14</v>
      </c>
      <c r="C6" t="s">
        <v>1634</v>
      </c>
      <c r="D6" t="s">
        <v>31</v>
      </c>
      <c r="E6" t="s">
        <v>1635</v>
      </c>
      <c r="F6" t="s">
        <v>18</v>
      </c>
      <c r="G6" t="s">
        <v>22</v>
      </c>
      <c r="H6">
        <v>0</v>
      </c>
      <c r="I6">
        <v>1</v>
      </c>
      <c r="J6">
        <v>240</v>
      </c>
      <c r="K6">
        <v>240</v>
      </c>
      <c r="L6">
        <v>0</v>
      </c>
      <c r="M6">
        <v>240</v>
      </c>
      <c r="N6" t="s">
        <v>1636</v>
      </c>
      <c r="O6" t="s">
        <v>21</v>
      </c>
    </row>
    <row r="7" spans="1:15" x14ac:dyDescent="0.3">
      <c r="A7" t="str">
        <f t="shared" si="0"/>
        <v>ETEP000031-R000-BK</v>
      </c>
      <c r="B7" t="s">
        <v>14</v>
      </c>
      <c r="C7" t="s">
        <v>27</v>
      </c>
      <c r="D7" t="s">
        <v>31</v>
      </c>
      <c r="E7" t="s">
        <v>1637</v>
      </c>
      <c r="F7" t="s">
        <v>18</v>
      </c>
      <c r="G7" t="s">
        <v>23</v>
      </c>
      <c r="H7">
        <v>0</v>
      </c>
      <c r="I7">
        <v>-400</v>
      </c>
      <c r="J7">
        <v>38530</v>
      </c>
      <c r="K7">
        <v>-15412000</v>
      </c>
      <c r="L7">
        <v>0</v>
      </c>
      <c r="M7">
        <v>-15412000</v>
      </c>
      <c r="O7" t="s">
        <v>21</v>
      </c>
    </row>
    <row r="8" spans="1:15" x14ac:dyDescent="0.3">
      <c r="A8" t="str">
        <f t="shared" si="0"/>
        <v>ETEP000032-R000-BK</v>
      </c>
      <c r="B8" t="s">
        <v>14</v>
      </c>
      <c r="C8" t="s">
        <v>30</v>
      </c>
      <c r="D8" t="s">
        <v>31</v>
      </c>
      <c r="E8" t="s">
        <v>32</v>
      </c>
      <c r="F8" t="s">
        <v>18</v>
      </c>
      <c r="G8" t="s">
        <v>23</v>
      </c>
      <c r="H8">
        <v>0</v>
      </c>
      <c r="I8">
        <v>10</v>
      </c>
      <c r="J8">
        <v>45740</v>
      </c>
      <c r="K8">
        <v>457400</v>
      </c>
      <c r="L8">
        <v>0</v>
      </c>
      <c r="M8">
        <v>457400</v>
      </c>
      <c r="O8" t="s">
        <v>21</v>
      </c>
    </row>
    <row r="9" spans="1:15" x14ac:dyDescent="0.3">
      <c r="A9" t="str">
        <f t="shared" si="0"/>
        <v>ETEP000133-R000-XX</v>
      </c>
      <c r="B9" t="s">
        <v>14</v>
      </c>
      <c r="C9" t="s">
        <v>33</v>
      </c>
      <c r="D9" t="s">
        <v>16</v>
      </c>
      <c r="E9" t="s">
        <v>34</v>
      </c>
      <c r="F9" t="s">
        <v>18</v>
      </c>
      <c r="G9" t="s">
        <v>35</v>
      </c>
      <c r="H9">
        <v>0</v>
      </c>
      <c r="I9">
        <v>126</v>
      </c>
      <c r="J9">
        <v>27780</v>
      </c>
      <c r="K9">
        <v>3500280</v>
      </c>
      <c r="L9">
        <v>0</v>
      </c>
      <c r="M9">
        <v>3500280</v>
      </c>
      <c r="N9" t="s">
        <v>36</v>
      </c>
      <c r="O9" t="s">
        <v>21</v>
      </c>
    </row>
    <row r="10" spans="1:15" x14ac:dyDescent="0.3">
      <c r="A10" t="str">
        <f t="shared" si="0"/>
        <v>ETEP000133-R000-XX</v>
      </c>
      <c r="B10" t="s">
        <v>14</v>
      </c>
      <c r="C10" t="s">
        <v>33</v>
      </c>
      <c r="D10" t="s">
        <v>16</v>
      </c>
      <c r="E10" t="s">
        <v>34</v>
      </c>
      <c r="F10" t="s">
        <v>18</v>
      </c>
      <c r="G10" t="s">
        <v>29</v>
      </c>
      <c r="H10">
        <v>0</v>
      </c>
      <c r="I10">
        <v>40</v>
      </c>
      <c r="J10">
        <v>27780</v>
      </c>
      <c r="K10">
        <v>1111200</v>
      </c>
      <c r="L10">
        <v>0</v>
      </c>
      <c r="M10">
        <v>1111200</v>
      </c>
      <c r="N10" t="s">
        <v>36</v>
      </c>
      <c r="O10" t="s">
        <v>21</v>
      </c>
    </row>
    <row r="11" spans="1:15" x14ac:dyDescent="0.3">
      <c r="A11" t="str">
        <f t="shared" si="0"/>
        <v>ETEP000133-R000-XX</v>
      </c>
      <c r="B11" t="s">
        <v>14</v>
      </c>
      <c r="C11" t="s">
        <v>33</v>
      </c>
      <c r="D11" t="s">
        <v>16</v>
      </c>
      <c r="E11" t="s">
        <v>34</v>
      </c>
      <c r="F11" t="s">
        <v>18</v>
      </c>
      <c r="G11" t="s">
        <v>23</v>
      </c>
      <c r="H11">
        <v>0</v>
      </c>
      <c r="I11">
        <v>14</v>
      </c>
      <c r="J11">
        <v>27780</v>
      </c>
      <c r="K11">
        <v>388920</v>
      </c>
      <c r="L11">
        <v>0</v>
      </c>
      <c r="M11">
        <v>388920</v>
      </c>
      <c r="N11" t="s">
        <v>36</v>
      </c>
      <c r="O11" t="s">
        <v>21</v>
      </c>
    </row>
    <row r="12" spans="1:15" x14ac:dyDescent="0.3">
      <c r="A12" t="str">
        <f t="shared" si="0"/>
        <v>ETEP000134-R000-XX</v>
      </c>
      <c r="B12" t="s">
        <v>14</v>
      </c>
      <c r="C12" t="s">
        <v>37</v>
      </c>
      <c r="D12" t="s">
        <v>16</v>
      </c>
      <c r="E12" t="s">
        <v>38</v>
      </c>
      <c r="F12" t="s">
        <v>18</v>
      </c>
      <c r="G12" t="s">
        <v>29</v>
      </c>
      <c r="H12">
        <v>0</v>
      </c>
      <c r="I12">
        <v>2</v>
      </c>
      <c r="J12">
        <v>27510</v>
      </c>
      <c r="K12">
        <v>55020</v>
      </c>
      <c r="L12">
        <v>0</v>
      </c>
      <c r="M12">
        <v>55020</v>
      </c>
      <c r="N12" t="s">
        <v>36</v>
      </c>
      <c r="O12" t="s">
        <v>21</v>
      </c>
    </row>
    <row r="13" spans="1:15" x14ac:dyDescent="0.3">
      <c r="A13" t="str">
        <f t="shared" si="0"/>
        <v>ETEP000135-R000-XX</v>
      </c>
      <c r="B13" t="s">
        <v>14</v>
      </c>
      <c r="C13" t="s">
        <v>1638</v>
      </c>
      <c r="D13" t="s">
        <v>16</v>
      </c>
      <c r="E13" t="s">
        <v>1639</v>
      </c>
      <c r="F13" t="s">
        <v>18</v>
      </c>
      <c r="G13" t="s">
        <v>29</v>
      </c>
      <c r="H13">
        <v>0</v>
      </c>
      <c r="I13">
        <v>2</v>
      </c>
      <c r="J13">
        <v>24930</v>
      </c>
      <c r="K13">
        <v>49860</v>
      </c>
      <c r="L13">
        <v>0</v>
      </c>
      <c r="M13">
        <v>49860</v>
      </c>
      <c r="N13" t="s">
        <v>36</v>
      </c>
      <c r="O13" t="s">
        <v>21</v>
      </c>
    </row>
    <row r="14" spans="1:15" x14ac:dyDescent="0.3">
      <c r="A14" t="str">
        <f t="shared" si="0"/>
        <v>ETET000418-R000-CLS</v>
      </c>
      <c r="B14" t="s">
        <v>14</v>
      </c>
      <c r="C14" t="s">
        <v>39</v>
      </c>
      <c r="D14" t="s">
        <v>40</v>
      </c>
      <c r="E14" t="s">
        <v>41</v>
      </c>
      <c r="F14" t="s">
        <v>18</v>
      </c>
      <c r="G14" t="s">
        <v>29</v>
      </c>
      <c r="H14">
        <v>0</v>
      </c>
      <c r="I14">
        <v>1</v>
      </c>
      <c r="J14">
        <v>12620</v>
      </c>
      <c r="K14">
        <v>12620</v>
      </c>
      <c r="L14">
        <v>0</v>
      </c>
      <c r="M14">
        <v>12620</v>
      </c>
      <c r="N14" t="s">
        <v>42</v>
      </c>
      <c r="O14" t="s">
        <v>21</v>
      </c>
    </row>
    <row r="15" spans="1:15" x14ac:dyDescent="0.3">
      <c r="A15" t="str">
        <f t="shared" si="0"/>
        <v>ETET000421-R000-XX</v>
      </c>
      <c r="B15" t="s">
        <v>14</v>
      </c>
      <c r="C15" t="s">
        <v>43</v>
      </c>
      <c r="D15" t="s">
        <v>16</v>
      </c>
      <c r="E15" t="s">
        <v>44</v>
      </c>
      <c r="F15" t="s">
        <v>18</v>
      </c>
      <c r="G15" t="s">
        <v>29</v>
      </c>
      <c r="H15">
        <v>0</v>
      </c>
      <c r="I15">
        <v>1</v>
      </c>
      <c r="J15">
        <v>3920</v>
      </c>
      <c r="K15">
        <v>3920</v>
      </c>
      <c r="L15">
        <v>0</v>
      </c>
      <c r="M15">
        <v>3920</v>
      </c>
      <c r="N15" t="s">
        <v>45</v>
      </c>
      <c r="O15" t="s">
        <v>21</v>
      </c>
    </row>
    <row r="16" spans="1:15" x14ac:dyDescent="0.3">
      <c r="A16" t="str">
        <f t="shared" si="0"/>
        <v>ETET000846-R001-GY</v>
      </c>
      <c r="B16" t="s">
        <v>14</v>
      </c>
      <c r="C16" t="s">
        <v>46</v>
      </c>
      <c r="D16" t="s">
        <v>47</v>
      </c>
      <c r="E16" t="s">
        <v>48</v>
      </c>
      <c r="F16" t="s">
        <v>18</v>
      </c>
      <c r="G16" t="s">
        <v>49</v>
      </c>
      <c r="H16">
        <v>0</v>
      </c>
      <c r="I16">
        <v>500</v>
      </c>
      <c r="J16">
        <v>1060</v>
      </c>
      <c r="K16">
        <v>530000</v>
      </c>
      <c r="L16">
        <v>0</v>
      </c>
      <c r="M16">
        <v>530000</v>
      </c>
      <c r="N16" t="s">
        <v>50</v>
      </c>
      <c r="O16" t="s">
        <v>21</v>
      </c>
    </row>
    <row r="17" spans="1:15" x14ac:dyDescent="0.3">
      <c r="A17" t="str">
        <f t="shared" si="0"/>
        <v>ETET001786-R000-XX</v>
      </c>
      <c r="B17" t="s">
        <v>14</v>
      </c>
      <c r="C17" t="s">
        <v>1640</v>
      </c>
      <c r="D17" t="s">
        <v>16</v>
      </c>
      <c r="E17" t="s">
        <v>1641</v>
      </c>
      <c r="F17" t="s">
        <v>18</v>
      </c>
      <c r="G17" t="s">
        <v>29</v>
      </c>
      <c r="H17">
        <v>0</v>
      </c>
      <c r="I17">
        <v>1</v>
      </c>
      <c r="J17">
        <v>2010</v>
      </c>
      <c r="K17">
        <v>2010</v>
      </c>
      <c r="L17">
        <v>0</v>
      </c>
      <c r="M17">
        <v>2010</v>
      </c>
      <c r="N17" t="s">
        <v>1642</v>
      </c>
      <c r="O17" t="s">
        <v>21</v>
      </c>
    </row>
    <row r="18" spans="1:15" x14ac:dyDescent="0.3">
      <c r="A18" t="str">
        <f t="shared" si="0"/>
        <v>ETFS000931-R000-NT</v>
      </c>
      <c r="B18" t="s">
        <v>14</v>
      </c>
      <c r="C18" t="s">
        <v>51</v>
      </c>
      <c r="D18" t="s">
        <v>52</v>
      </c>
      <c r="E18" t="s">
        <v>53</v>
      </c>
      <c r="F18" t="s">
        <v>18</v>
      </c>
      <c r="G18" t="s">
        <v>29</v>
      </c>
      <c r="H18">
        <v>0</v>
      </c>
      <c r="I18">
        <v>2</v>
      </c>
      <c r="J18">
        <v>75</v>
      </c>
      <c r="K18">
        <v>150</v>
      </c>
      <c r="L18">
        <v>0</v>
      </c>
      <c r="M18">
        <v>150</v>
      </c>
      <c r="N18" t="s">
        <v>54</v>
      </c>
      <c r="O18" t="s">
        <v>21</v>
      </c>
    </row>
    <row r="19" spans="1:15" x14ac:dyDescent="0.3">
      <c r="A19" t="str">
        <f t="shared" si="0"/>
        <v>ETFS001264-R000-BK</v>
      </c>
      <c r="B19" t="s">
        <v>14</v>
      </c>
      <c r="C19" t="s">
        <v>55</v>
      </c>
      <c r="D19" t="s">
        <v>31</v>
      </c>
      <c r="E19" t="s">
        <v>1643</v>
      </c>
      <c r="F19" t="s">
        <v>18</v>
      </c>
      <c r="G19" t="s">
        <v>29</v>
      </c>
      <c r="H19">
        <v>0</v>
      </c>
      <c r="I19">
        <v>26</v>
      </c>
      <c r="J19">
        <v>47</v>
      </c>
      <c r="K19">
        <v>1222</v>
      </c>
      <c r="L19">
        <v>0</v>
      </c>
      <c r="M19">
        <v>1222</v>
      </c>
      <c r="N19" t="s">
        <v>56</v>
      </c>
      <c r="O19" t="s">
        <v>21</v>
      </c>
    </row>
    <row r="20" spans="1:15" x14ac:dyDescent="0.3">
      <c r="A20" t="str">
        <f t="shared" si="0"/>
        <v>ETFS001264-R000-MM</v>
      </c>
      <c r="B20" t="s">
        <v>14</v>
      </c>
      <c r="C20" t="s">
        <v>55</v>
      </c>
      <c r="D20" t="s">
        <v>57</v>
      </c>
      <c r="E20" t="s">
        <v>58</v>
      </c>
      <c r="F20" t="s">
        <v>18</v>
      </c>
      <c r="G20" t="s">
        <v>26</v>
      </c>
      <c r="H20">
        <v>0</v>
      </c>
      <c r="I20">
        <v>2000</v>
      </c>
      <c r="J20">
        <v>47</v>
      </c>
      <c r="K20">
        <v>94000</v>
      </c>
      <c r="L20">
        <v>0</v>
      </c>
      <c r="M20">
        <v>94000</v>
      </c>
      <c r="N20" t="s">
        <v>56</v>
      </c>
      <c r="O20" t="s">
        <v>21</v>
      </c>
    </row>
    <row r="21" spans="1:15" x14ac:dyDescent="0.3">
      <c r="A21" t="str">
        <f t="shared" si="0"/>
        <v>ETFS001264-R000-UA</v>
      </c>
      <c r="B21" t="s">
        <v>14</v>
      </c>
      <c r="C21" t="s">
        <v>55</v>
      </c>
      <c r="D21" t="s">
        <v>59</v>
      </c>
      <c r="E21" t="s">
        <v>60</v>
      </c>
      <c r="F21" t="s">
        <v>18</v>
      </c>
      <c r="G21" t="s">
        <v>35</v>
      </c>
      <c r="H21">
        <v>0</v>
      </c>
      <c r="I21">
        <v>4000</v>
      </c>
      <c r="J21">
        <v>47</v>
      </c>
      <c r="K21">
        <v>188000</v>
      </c>
      <c r="L21">
        <v>0</v>
      </c>
      <c r="M21">
        <v>188000</v>
      </c>
      <c r="N21" t="s">
        <v>56</v>
      </c>
      <c r="O21" t="s">
        <v>21</v>
      </c>
    </row>
    <row r="22" spans="1:15" x14ac:dyDescent="0.3">
      <c r="A22" t="str">
        <f t="shared" si="0"/>
        <v>ETFS001264-R000-UA</v>
      </c>
      <c r="B22" t="s">
        <v>14</v>
      </c>
      <c r="C22" t="s">
        <v>55</v>
      </c>
      <c r="D22" t="s">
        <v>59</v>
      </c>
      <c r="E22" t="s">
        <v>60</v>
      </c>
      <c r="F22" t="s">
        <v>18</v>
      </c>
      <c r="G22" t="s">
        <v>61</v>
      </c>
      <c r="H22">
        <v>0</v>
      </c>
      <c r="I22">
        <v>2000</v>
      </c>
      <c r="J22">
        <v>47</v>
      </c>
      <c r="K22">
        <v>94000</v>
      </c>
      <c r="L22">
        <v>0</v>
      </c>
      <c r="M22">
        <v>94000</v>
      </c>
      <c r="N22" t="s">
        <v>56</v>
      </c>
      <c r="O22" t="s">
        <v>21</v>
      </c>
    </row>
    <row r="23" spans="1:15" x14ac:dyDescent="0.3">
      <c r="A23" t="str">
        <f t="shared" si="0"/>
        <v>ETFS001264-R000-WW</v>
      </c>
      <c r="B23" t="s">
        <v>14</v>
      </c>
      <c r="C23" t="s">
        <v>55</v>
      </c>
      <c r="D23" t="s">
        <v>28</v>
      </c>
      <c r="E23" t="s">
        <v>62</v>
      </c>
      <c r="F23" t="s">
        <v>18</v>
      </c>
      <c r="G23" t="s">
        <v>22</v>
      </c>
      <c r="H23">
        <v>0</v>
      </c>
      <c r="I23">
        <v>4</v>
      </c>
      <c r="J23">
        <v>47</v>
      </c>
      <c r="K23">
        <v>188</v>
      </c>
      <c r="L23">
        <v>0</v>
      </c>
      <c r="M23">
        <v>188</v>
      </c>
      <c r="N23" t="s">
        <v>56</v>
      </c>
      <c r="O23" t="s">
        <v>21</v>
      </c>
    </row>
    <row r="24" spans="1:15" x14ac:dyDescent="0.3">
      <c r="A24" t="str">
        <f t="shared" si="0"/>
        <v>ETFS001264-R000-WW</v>
      </c>
      <c r="B24" t="s">
        <v>14</v>
      </c>
      <c r="C24" t="s">
        <v>55</v>
      </c>
      <c r="D24" t="s">
        <v>28</v>
      </c>
      <c r="E24" t="s">
        <v>62</v>
      </c>
      <c r="F24" t="s">
        <v>18</v>
      </c>
      <c r="G24" t="s">
        <v>239</v>
      </c>
      <c r="H24">
        <v>0</v>
      </c>
      <c r="I24">
        <v>2000</v>
      </c>
      <c r="J24">
        <v>47</v>
      </c>
      <c r="K24">
        <v>94000</v>
      </c>
      <c r="L24">
        <v>0</v>
      </c>
      <c r="M24">
        <v>94000</v>
      </c>
      <c r="N24" t="s">
        <v>56</v>
      </c>
      <c r="O24" t="s">
        <v>21</v>
      </c>
    </row>
    <row r="25" spans="1:15" x14ac:dyDescent="0.3">
      <c r="A25" t="str">
        <f t="shared" si="0"/>
        <v>ETFS001264-R000-WW</v>
      </c>
      <c r="B25" t="s">
        <v>14</v>
      </c>
      <c r="C25" t="s">
        <v>55</v>
      </c>
      <c r="D25" t="s">
        <v>28</v>
      </c>
      <c r="E25" t="s">
        <v>62</v>
      </c>
      <c r="F25" t="s">
        <v>18</v>
      </c>
      <c r="G25" t="s">
        <v>26</v>
      </c>
      <c r="H25">
        <v>0</v>
      </c>
      <c r="I25">
        <v>4000</v>
      </c>
      <c r="J25">
        <v>47</v>
      </c>
      <c r="K25">
        <v>188000</v>
      </c>
      <c r="L25">
        <v>0</v>
      </c>
      <c r="M25">
        <v>188000</v>
      </c>
      <c r="N25" t="s">
        <v>56</v>
      </c>
      <c r="O25" t="s">
        <v>21</v>
      </c>
    </row>
    <row r="26" spans="1:15" x14ac:dyDescent="0.3">
      <c r="A26" t="str">
        <f t="shared" si="0"/>
        <v>ETFS001264-R000-WW</v>
      </c>
      <c r="B26" t="s">
        <v>14</v>
      </c>
      <c r="C26" t="s">
        <v>55</v>
      </c>
      <c r="D26" t="s">
        <v>28</v>
      </c>
      <c r="E26" t="s">
        <v>62</v>
      </c>
      <c r="F26" t="s">
        <v>18</v>
      </c>
      <c r="G26" t="s">
        <v>29</v>
      </c>
      <c r="H26">
        <v>0</v>
      </c>
      <c r="I26">
        <v>8</v>
      </c>
      <c r="J26">
        <v>47</v>
      </c>
      <c r="K26">
        <v>376</v>
      </c>
      <c r="L26">
        <v>0</v>
      </c>
      <c r="M26">
        <v>376</v>
      </c>
      <c r="N26" t="s">
        <v>56</v>
      </c>
      <c r="O26" t="s">
        <v>21</v>
      </c>
    </row>
    <row r="27" spans="1:15" x14ac:dyDescent="0.3">
      <c r="A27" t="str">
        <f t="shared" si="0"/>
        <v>ETFS001266-R000-WH</v>
      </c>
      <c r="B27" t="s">
        <v>14</v>
      </c>
      <c r="C27" t="s">
        <v>64</v>
      </c>
      <c r="D27" t="s">
        <v>65</v>
      </c>
      <c r="E27" t="s">
        <v>1644</v>
      </c>
      <c r="F27" t="s">
        <v>18</v>
      </c>
      <c r="G27" t="s">
        <v>26</v>
      </c>
      <c r="H27">
        <v>0</v>
      </c>
      <c r="I27">
        <v>2000</v>
      </c>
      <c r="J27">
        <v>41</v>
      </c>
      <c r="K27">
        <v>82000</v>
      </c>
      <c r="L27">
        <v>0</v>
      </c>
      <c r="M27">
        <v>82000</v>
      </c>
      <c r="N27" t="s">
        <v>66</v>
      </c>
      <c r="O27" t="s">
        <v>21</v>
      </c>
    </row>
    <row r="28" spans="1:15" x14ac:dyDescent="0.3">
      <c r="A28" t="str">
        <f t="shared" si="0"/>
        <v>ETFS001266-R000-WH</v>
      </c>
      <c r="B28" t="s">
        <v>14</v>
      </c>
      <c r="C28" t="s">
        <v>64</v>
      </c>
      <c r="D28" t="s">
        <v>65</v>
      </c>
      <c r="E28" t="s">
        <v>1644</v>
      </c>
      <c r="F28" t="s">
        <v>18</v>
      </c>
      <c r="G28" t="s">
        <v>29</v>
      </c>
      <c r="H28">
        <v>0</v>
      </c>
      <c r="I28">
        <v>38</v>
      </c>
      <c r="J28">
        <v>41</v>
      </c>
      <c r="K28">
        <v>1558</v>
      </c>
      <c r="L28">
        <v>0</v>
      </c>
      <c r="M28">
        <v>1558</v>
      </c>
      <c r="N28" t="s">
        <v>66</v>
      </c>
      <c r="O28" t="s">
        <v>21</v>
      </c>
    </row>
    <row r="29" spans="1:15" x14ac:dyDescent="0.3">
      <c r="A29" t="str">
        <f t="shared" si="0"/>
        <v>ETFS001266-R000-WH</v>
      </c>
      <c r="B29" t="s">
        <v>14</v>
      </c>
      <c r="C29" t="s">
        <v>64</v>
      </c>
      <c r="D29" t="s">
        <v>65</v>
      </c>
      <c r="E29" t="s">
        <v>1644</v>
      </c>
      <c r="F29" t="s">
        <v>18</v>
      </c>
      <c r="G29" t="s">
        <v>23</v>
      </c>
      <c r="H29">
        <v>0</v>
      </c>
      <c r="I29">
        <v>30000</v>
      </c>
      <c r="J29">
        <v>41</v>
      </c>
      <c r="K29">
        <v>1230000</v>
      </c>
      <c r="L29">
        <v>0</v>
      </c>
      <c r="M29">
        <v>1230000</v>
      </c>
      <c r="N29" t="s">
        <v>66</v>
      </c>
      <c r="O29" t="s">
        <v>21</v>
      </c>
    </row>
    <row r="30" spans="1:15" x14ac:dyDescent="0.3">
      <c r="A30" t="str">
        <f t="shared" si="0"/>
        <v>ETFS002507-R000-NI</v>
      </c>
      <c r="B30" t="s">
        <v>14</v>
      </c>
      <c r="C30" t="s">
        <v>70</v>
      </c>
      <c r="D30" t="s">
        <v>67</v>
      </c>
      <c r="E30" t="s">
        <v>71</v>
      </c>
      <c r="F30" t="s">
        <v>18</v>
      </c>
      <c r="G30" t="s">
        <v>22</v>
      </c>
      <c r="H30">
        <v>0</v>
      </c>
      <c r="I30">
        <v>1000</v>
      </c>
      <c r="J30">
        <v>37</v>
      </c>
      <c r="K30">
        <v>37000</v>
      </c>
      <c r="L30">
        <v>0</v>
      </c>
      <c r="M30">
        <v>37000</v>
      </c>
      <c r="N30" t="s">
        <v>72</v>
      </c>
      <c r="O30" t="s">
        <v>21</v>
      </c>
    </row>
    <row r="31" spans="1:15" x14ac:dyDescent="0.3">
      <c r="A31" t="str">
        <f t="shared" si="0"/>
        <v>ETHW000026-R000-BK</v>
      </c>
      <c r="B31" t="s">
        <v>14</v>
      </c>
      <c r="C31" t="s">
        <v>73</v>
      </c>
      <c r="D31" t="s">
        <v>31</v>
      </c>
      <c r="E31" t="s">
        <v>74</v>
      </c>
      <c r="F31" t="s">
        <v>18</v>
      </c>
      <c r="G31" t="s">
        <v>35</v>
      </c>
      <c r="H31">
        <v>0</v>
      </c>
      <c r="I31">
        <v>200</v>
      </c>
      <c r="J31">
        <v>1500</v>
      </c>
      <c r="K31">
        <v>300000</v>
      </c>
      <c r="L31">
        <v>0</v>
      </c>
      <c r="M31">
        <v>300000</v>
      </c>
      <c r="N31" t="s">
        <v>75</v>
      </c>
      <c r="O31" t="s">
        <v>21</v>
      </c>
    </row>
    <row r="32" spans="1:15" x14ac:dyDescent="0.3">
      <c r="A32" t="str">
        <f t="shared" si="0"/>
        <v>ETHW000312-R000-IVM</v>
      </c>
      <c r="B32" t="s">
        <v>14</v>
      </c>
      <c r="C32" t="s">
        <v>76</v>
      </c>
      <c r="D32" t="s">
        <v>77</v>
      </c>
      <c r="E32" t="s">
        <v>78</v>
      </c>
      <c r="F32" t="s">
        <v>18</v>
      </c>
      <c r="G32" t="s">
        <v>22</v>
      </c>
      <c r="H32">
        <v>0</v>
      </c>
      <c r="I32">
        <v>4</v>
      </c>
      <c r="J32">
        <v>24310</v>
      </c>
      <c r="K32">
        <v>97240</v>
      </c>
      <c r="L32">
        <v>0</v>
      </c>
      <c r="M32">
        <v>97240</v>
      </c>
      <c r="N32" t="s">
        <v>79</v>
      </c>
      <c r="O32" t="s">
        <v>21</v>
      </c>
    </row>
    <row r="33" spans="1:15" x14ac:dyDescent="0.3">
      <c r="A33" t="str">
        <f t="shared" si="0"/>
        <v>ETHW000350-R000-XX</v>
      </c>
      <c r="B33" t="s">
        <v>14</v>
      </c>
      <c r="C33" t="s">
        <v>1645</v>
      </c>
      <c r="D33" t="s">
        <v>16</v>
      </c>
      <c r="E33" t="s">
        <v>1646</v>
      </c>
      <c r="F33" t="s">
        <v>18</v>
      </c>
      <c r="G33" t="s">
        <v>68</v>
      </c>
      <c r="H33">
        <v>0</v>
      </c>
      <c r="I33">
        <v>600</v>
      </c>
      <c r="J33">
        <v>1560</v>
      </c>
      <c r="K33">
        <v>936000</v>
      </c>
      <c r="L33">
        <v>0</v>
      </c>
      <c r="M33">
        <v>936000</v>
      </c>
      <c r="N33" t="s">
        <v>1647</v>
      </c>
      <c r="O33" t="s">
        <v>21</v>
      </c>
    </row>
    <row r="34" spans="1:15" x14ac:dyDescent="0.3">
      <c r="A34" t="str">
        <f t="shared" si="0"/>
        <v>ETHW000350-R000-XX</v>
      </c>
      <c r="B34" t="s">
        <v>14</v>
      </c>
      <c r="C34" t="s">
        <v>1645</v>
      </c>
      <c r="D34" t="s">
        <v>16</v>
      </c>
      <c r="E34" t="s">
        <v>1646</v>
      </c>
      <c r="F34" t="s">
        <v>18</v>
      </c>
      <c r="G34" t="s">
        <v>19</v>
      </c>
      <c r="H34">
        <v>0</v>
      </c>
      <c r="I34">
        <v>3000</v>
      </c>
      <c r="J34">
        <v>1560</v>
      </c>
      <c r="K34">
        <v>4680000</v>
      </c>
      <c r="L34">
        <v>0</v>
      </c>
      <c r="M34">
        <v>4680000</v>
      </c>
      <c r="N34" t="s">
        <v>1647</v>
      </c>
      <c r="O34" t="s">
        <v>21</v>
      </c>
    </row>
    <row r="35" spans="1:15" x14ac:dyDescent="0.3">
      <c r="A35" t="str">
        <f t="shared" si="0"/>
        <v>ETHW000350-R000-XX</v>
      </c>
      <c r="B35" t="s">
        <v>14</v>
      </c>
      <c r="C35" t="s">
        <v>1645</v>
      </c>
      <c r="D35" t="s">
        <v>16</v>
      </c>
      <c r="E35" t="s">
        <v>1646</v>
      </c>
      <c r="F35" t="s">
        <v>18</v>
      </c>
      <c r="G35" t="s">
        <v>246</v>
      </c>
      <c r="H35">
        <v>0</v>
      </c>
      <c r="I35">
        <v>900</v>
      </c>
      <c r="J35">
        <v>1560</v>
      </c>
      <c r="K35">
        <v>1404000</v>
      </c>
      <c r="L35">
        <v>0</v>
      </c>
      <c r="M35">
        <v>1404000</v>
      </c>
      <c r="N35" t="s">
        <v>1647</v>
      </c>
      <c r="O35" t="s">
        <v>21</v>
      </c>
    </row>
    <row r="36" spans="1:15" x14ac:dyDescent="0.3">
      <c r="A36" t="str">
        <f t="shared" si="0"/>
        <v>ETHW000350-R000-XX</v>
      </c>
      <c r="B36" t="s">
        <v>14</v>
      </c>
      <c r="C36" t="s">
        <v>1645</v>
      </c>
      <c r="D36" t="s">
        <v>16</v>
      </c>
      <c r="E36" t="s">
        <v>1646</v>
      </c>
      <c r="F36" t="s">
        <v>18</v>
      </c>
      <c r="G36" t="s">
        <v>49</v>
      </c>
      <c r="H36">
        <v>0</v>
      </c>
      <c r="I36">
        <v>20400</v>
      </c>
      <c r="J36">
        <v>1560</v>
      </c>
      <c r="K36">
        <v>31824000</v>
      </c>
      <c r="L36">
        <v>0</v>
      </c>
      <c r="M36">
        <v>31824000</v>
      </c>
      <c r="N36" t="s">
        <v>1647</v>
      </c>
      <c r="O36" t="s">
        <v>21</v>
      </c>
    </row>
    <row r="37" spans="1:15" x14ac:dyDescent="0.3">
      <c r="A37" t="str">
        <f t="shared" si="0"/>
        <v>ETHW000350-R000-XX</v>
      </c>
      <c r="B37" t="s">
        <v>14</v>
      </c>
      <c r="C37" t="s">
        <v>1645</v>
      </c>
      <c r="D37" t="s">
        <v>16</v>
      </c>
      <c r="E37" t="s">
        <v>1646</v>
      </c>
      <c r="F37" t="s">
        <v>18</v>
      </c>
      <c r="G37" t="s">
        <v>29</v>
      </c>
      <c r="H37">
        <v>0</v>
      </c>
      <c r="I37">
        <v>20</v>
      </c>
      <c r="J37">
        <v>1560</v>
      </c>
      <c r="K37">
        <v>31200</v>
      </c>
      <c r="L37">
        <v>0</v>
      </c>
      <c r="M37">
        <v>31200</v>
      </c>
      <c r="N37" t="s">
        <v>1647</v>
      </c>
      <c r="O37" t="s">
        <v>21</v>
      </c>
    </row>
    <row r="38" spans="1:15" x14ac:dyDescent="0.3">
      <c r="A38" t="str">
        <f t="shared" si="0"/>
        <v>ETHW000350-R000-XX</v>
      </c>
      <c r="B38" t="s">
        <v>14</v>
      </c>
      <c r="C38" t="s">
        <v>1645</v>
      </c>
      <c r="D38" t="s">
        <v>16</v>
      </c>
      <c r="E38" t="s">
        <v>1646</v>
      </c>
      <c r="F38" t="s">
        <v>18</v>
      </c>
      <c r="G38" t="s">
        <v>35</v>
      </c>
      <c r="H38">
        <v>0</v>
      </c>
      <c r="I38">
        <v>3600</v>
      </c>
      <c r="J38">
        <v>1560</v>
      </c>
      <c r="K38">
        <v>5616000</v>
      </c>
      <c r="L38">
        <v>0</v>
      </c>
      <c r="M38">
        <v>5616000</v>
      </c>
      <c r="N38" t="s">
        <v>1647</v>
      </c>
      <c r="O38" t="s">
        <v>21</v>
      </c>
    </row>
    <row r="39" spans="1:15" x14ac:dyDescent="0.3">
      <c r="A39" t="str">
        <f t="shared" si="0"/>
        <v>ETHW000350-R000-XX</v>
      </c>
      <c r="B39" t="s">
        <v>14</v>
      </c>
      <c r="C39" t="s">
        <v>1645</v>
      </c>
      <c r="D39" t="s">
        <v>16</v>
      </c>
      <c r="E39" t="s">
        <v>1646</v>
      </c>
      <c r="F39" t="s">
        <v>18</v>
      </c>
      <c r="G39" t="s">
        <v>23</v>
      </c>
      <c r="H39">
        <v>0</v>
      </c>
      <c r="I39">
        <v>600</v>
      </c>
      <c r="J39">
        <v>1560</v>
      </c>
      <c r="K39">
        <v>936000</v>
      </c>
      <c r="L39">
        <v>0</v>
      </c>
      <c r="M39">
        <v>936000</v>
      </c>
      <c r="N39" t="s">
        <v>1647</v>
      </c>
      <c r="O39" t="s">
        <v>21</v>
      </c>
    </row>
    <row r="40" spans="1:15" x14ac:dyDescent="0.3">
      <c r="A40" t="str">
        <f t="shared" si="0"/>
        <v>ETHW000350-R000-XX</v>
      </c>
      <c r="B40" t="s">
        <v>14</v>
      </c>
      <c r="C40" t="s">
        <v>1645</v>
      </c>
      <c r="D40" t="s">
        <v>16</v>
      </c>
      <c r="E40" t="s">
        <v>1646</v>
      </c>
      <c r="F40" t="s">
        <v>18</v>
      </c>
      <c r="G40" t="s">
        <v>111</v>
      </c>
      <c r="H40">
        <v>0</v>
      </c>
      <c r="I40">
        <v>600</v>
      </c>
      <c r="J40">
        <v>1560</v>
      </c>
      <c r="K40">
        <v>936000</v>
      </c>
      <c r="L40">
        <v>0</v>
      </c>
      <c r="M40">
        <v>936000</v>
      </c>
      <c r="N40" t="s">
        <v>1647</v>
      </c>
      <c r="O40" t="s">
        <v>21</v>
      </c>
    </row>
    <row r="41" spans="1:15" x14ac:dyDescent="0.3">
      <c r="A41" t="str">
        <f t="shared" si="0"/>
        <v>ETHW000350-R000-XX</v>
      </c>
      <c r="B41" t="s">
        <v>14</v>
      </c>
      <c r="C41" t="s">
        <v>1645</v>
      </c>
      <c r="D41" t="s">
        <v>16</v>
      </c>
      <c r="E41" t="s">
        <v>1646</v>
      </c>
      <c r="F41" t="s">
        <v>18</v>
      </c>
      <c r="G41" t="s">
        <v>210</v>
      </c>
      <c r="H41">
        <v>0</v>
      </c>
      <c r="I41">
        <v>100</v>
      </c>
      <c r="J41">
        <v>1560</v>
      </c>
      <c r="K41">
        <v>156000</v>
      </c>
      <c r="L41">
        <v>0</v>
      </c>
      <c r="M41">
        <v>156000</v>
      </c>
      <c r="N41" t="s">
        <v>1647</v>
      </c>
      <c r="O41" t="s">
        <v>21</v>
      </c>
    </row>
    <row r="42" spans="1:15" x14ac:dyDescent="0.3">
      <c r="A42" t="str">
        <f t="shared" si="0"/>
        <v>ETHW000350-R000-XX</v>
      </c>
      <c r="B42" t="s">
        <v>14</v>
      </c>
      <c r="C42" t="s">
        <v>1645</v>
      </c>
      <c r="D42" t="s">
        <v>16</v>
      </c>
      <c r="E42" t="s">
        <v>1646</v>
      </c>
      <c r="F42" t="s">
        <v>18</v>
      </c>
      <c r="G42" t="s">
        <v>174</v>
      </c>
      <c r="H42">
        <v>0</v>
      </c>
      <c r="I42">
        <v>3000</v>
      </c>
      <c r="J42">
        <v>1560</v>
      </c>
      <c r="K42">
        <v>4680000</v>
      </c>
      <c r="L42">
        <v>0</v>
      </c>
      <c r="M42">
        <v>4680000</v>
      </c>
      <c r="N42" t="s">
        <v>1647</v>
      </c>
      <c r="O42" t="s">
        <v>21</v>
      </c>
    </row>
    <row r="43" spans="1:15" x14ac:dyDescent="0.3">
      <c r="A43" t="str">
        <f t="shared" si="0"/>
        <v>ETHW000350-R000-XX</v>
      </c>
      <c r="B43" t="s">
        <v>14</v>
      </c>
      <c r="C43" t="s">
        <v>1645</v>
      </c>
      <c r="D43" t="s">
        <v>16</v>
      </c>
      <c r="E43" t="s">
        <v>1646</v>
      </c>
      <c r="F43" t="s">
        <v>18</v>
      </c>
      <c r="G43" t="s">
        <v>35</v>
      </c>
      <c r="H43">
        <v>0</v>
      </c>
      <c r="I43">
        <v>0</v>
      </c>
      <c r="J43">
        <v>1590</v>
      </c>
      <c r="K43">
        <v>0</v>
      </c>
      <c r="L43">
        <v>0</v>
      </c>
      <c r="M43">
        <v>0</v>
      </c>
      <c r="N43" t="s">
        <v>1647</v>
      </c>
      <c r="O43" t="s">
        <v>21</v>
      </c>
    </row>
    <row r="44" spans="1:15" x14ac:dyDescent="0.3">
      <c r="A44" t="str">
        <f t="shared" si="0"/>
        <v>ETHW000351-R000-XX</v>
      </c>
      <c r="B44" t="s">
        <v>14</v>
      </c>
      <c r="C44" t="s">
        <v>1648</v>
      </c>
      <c r="D44" t="s">
        <v>16</v>
      </c>
      <c r="E44" t="s">
        <v>1649</v>
      </c>
      <c r="F44" t="s">
        <v>18</v>
      </c>
      <c r="G44" t="s">
        <v>35</v>
      </c>
      <c r="H44">
        <v>0</v>
      </c>
      <c r="I44">
        <v>1800</v>
      </c>
      <c r="J44">
        <v>1990</v>
      </c>
      <c r="K44">
        <v>3582000</v>
      </c>
      <c r="L44">
        <v>0</v>
      </c>
      <c r="M44">
        <v>3582000</v>
      </c>
      <c r="N44" t="s">
        <v>1650</v>
      </c>
      <c r="O44" t="s">
        <v>21</v>
      </c>
    </row>
    <row r="45" spans="1:15" x14ac:dyDescent="0.3">
      <c r="A45" t="str">
        <f t="shared" si="0"/>
        <v>ETHW000351-R000-XX</v>
      </c>
      <c r="B45" t="s">
        <v>14</v>
      </c>
      <c r="C45" t="s">
        <v>1648</v>
      </c>
      <c r="D45" t="s">
        <v>16</v>
      </c>
      <c r="E45" t="s">
        <v>1649</v>
      </c>
      <c r="F45" t="s">
        <v>18</v>
      </c>
      <c r="G45" t="s">
        <v>210</v>
      </c>
      <c r="H45">
        <v>0</v>
      </c>
      <c r="I45">
        <v>100</v>
      </c>
      <c r="J45">
        <v>1990</v>
      </c>
      <c r="K45">
        <v>199000</v>
      </c>
      <c r="L45">
        <v>0</v>
      </c>
      <c r="M45">
        <v>199000</v>
      </c>
      <c r="N45" t="s">
        <v>1650</v>
      </c>
      <c r="O45" t="s">
        <v>21</v>
      </c>
    </row>
    <row r="46" spans="1:15" x14ac:dyDescent="0.3">
      <c r="A46" t="str">
        <f t="shared" si="0"/>
        <v>ETHW000388-R000-NI</v>
      </c>
      <c r="B46" t="s">
        <v>14</v>
      </c>
      <c r="C46" t="s">
        <v>1651</v>
      </c>
      <c r="D46" t="s">
        <v>67</v>
      </c>
      <c r="E46" t="s">
        <v>1652</v>
      </c>
      <c r="F46" t="s">
        <v>18</v>
      </c>
      <c r="G46" t="s">
        <v>29</v>
      </c>
      <c r="H46">
        <v>0</v>
      </c>
      <c r="I46">
        <v>20</v>
      </c>
      <c r="J46">
        <v>540</v>
      </c>
      <c r="K46">
        <v>10800</v>
      </c>
      <c r="L46">
        <v>0</v>
      </c>
      <c r="M46">
        <v>10800</v>
      </c>
      <c r="N46" t="s">
        <v>534</v>
      </c>
      <c r="O46" t="s">
        <v>21</v>
      </c>
    </row>
    <row r="47" spans="1:15" x14ac:dyDescent="0.3">
      <c r="A47" t="str">
        <f t="shared" si="0"/>
        <v>ETHW000388-R000-NI</v>
      </c>
      <c r="B47" t="s">
        <v>14</v>
      </c>
      <c r="C47" t="s">
        <v>1651</v>
      </c>
      <c r="D47" t="s">
        <v>67</v>
      </c>
      <c r="E47" t="s">
        <v>1652</v>
      </c>
      <c r="F47" t="s">
        <v>18</v>
      </c>
      <c r="G47" t="s">
        <v>174</v>
      </c>
      <c r="H47">
        <v>0</v>
      </c>
      <c r="I47">
        <v>300</v>
      </c>
      <c r="J47">
        <v>540</v>
      </c>
      <c r="K47">
        <v>162000</v>
      </c>
      <c r="L47">
        <v>0</v>
      </c>
      <c r="M47">
        <v>162000</v>
      </c>
      <c r="N47" t="s">
        <v>534</v>
      </c>
      <c r="O47" t="s">
        <v>21</v>
      </c>
    </row>
    <row r="48" spans="1:15" x14ac:dyDescent="0.3">
      <c r="A48" t="str">
        <f t="shared" si="0"/>
        <v>ETHW000388-R000-NI</v>
      </c>
      <c r="B48" t="s">
        <v>14</v>
      </c>
      <c r="C48" t="s">
        <v>1651</v>
      </c>
      <c r="D48" t="s">
        <v>67</v>
      </c>
      <c r="E48" t="s">
        <v>1652</v>
      </c>
      <c r="F48" t="s">
        <v>18</v>
      </c>
      <c r="G48" t="s">
        <v>111</v>
      </c>
      <c r="H48">
        <v>0</v>
      </c>
      <c r="I48">
        <v>0</v>
      </c>
      <c r="J48">
        <v>550</v>
      </c>
      <c r="K48">
        <v>0</v>
      </c>
      <c r="L48">
        <v>0</v>
      </c>
      <c r="M48">
        <v>0</v>
      </c>
      <c r="N48" t="s">
        <v>534</v>
      </c>
      <c r="O48" t="s">
        <v>21</v>
      </c>
    </row>
    <row r="49" spans="1:15" x14ac:dyDescent="0.3">
      <c r="A49" t="str">
        <f t="shared" si="0"/>
        <v>ETHW000388-R000-NI</v>
      </c>
      <c r="B49" t="s">
        <v>14</v>
      </c>
      <c r="C49" t="s">
        <v>1651</v>
      </c>
      <c r="D49" t="s">
        <v>67</v>
      </c>
      <c r="E49" t="s">
        <v>1652</v>
      </c>
      <c r="F49" t="s">
        <v>18</v>
      </c>
      <c r="G49" t="s">
        <v>68</v>
      </c>
      <c r="H49">
        <v>0</v>
      </c>
      <c r="I49">
        <v>1200</v>
      </c>
      <c r="J49">
        <v>540</v>
      </c>
      <c r="K49">
        <v>648000</v>
      </c>
      <c r="L49">
        <v>0</v>
      </c>
      <c r="M49">
        <v>648000</v>
      </c>
      <c r="N49" t="s">
        <v>534</v>
      </c>
      <c r="O49" t="s">
        <v>21</v>
      </c>
    </row>
    <row r="50" spans="1:15" x14ac:dyDescent="0.3">
      <c r="A50" t="str">
        <f t="shared" si="0"/>
        <v>ETHW000388-R000-NI</v>
      </c>
      <c r="B50" t="s">
        <v>14</v>
      </c>
      <c r="C50" t="s">
        <v>1651</v>
      </c>
      <c r="D50" t="s">
        <v>67</v>
      </c>
      <c r="E50" t="s">
        <v>1652</v>
      </c>
      <c r="F50" t="s">
        <v>18</v>
      </c>
      <c r="G50" t="s">
        <v>111</v>
      </c>
      <c r="H50">
        <v>0</v>
      </c>
      <c r="I50">
        <v>2100</v>
      </c>
      <c r="J50">
        <v>540</v>
      </c>
      <c r="K50">
        <v>1134000</v>
      </c>
      <c r="L50">
        <v>0</v>
      </c>
      <c r="M50">
        <v>1134000</v>
      </c>
      <c r="N50" t="s">
        <v>534</v>
      </c>
      <c r="O50" t="s">
        <v>21</v>
      </c>
    </row>
    <row r="51" spans="1:15" x14ac:dyDescent="0.3">
      <c r="A51" t="str">
        <f t="shared" si="0"/>
        <v>ETHW000388-R000-NI</v>
      </c>
      <c r="B51" t="s">
        <v>14</v>
      </c>
      <c r="C51" t="s">
        <v>1651</v>
      </c>
      <c r="D51" t="s">
        <v>67</v>
      </c>
      <c r="E51" t="s">
        <v>1652</v>
      </c>
      <c r="F51" t="s">
        <v>18</v>
      </c>
      <c r="G51" t="s">
        <v>22</v>
      </c>
      <c r="H51">
        <v>0</v>
      </c>
      <c r="I51">
        <v>1</v>
      </c>
      <c r="J51">
        <v>540</v>
      </c>
      <c r="K51">
        <v>540</v>
      </c>
      <c r="L51">
        <v>0</v>
      </c>
      <c r="M51">
        <v>540</v>
      </c>
      <c r="N51" t="s">
        <v>534</v>
      </c>
      <c r="O51" t="s">
        <v>21</v>
      </c>
    </row>
    <row r="52" spans="1:15" x14ac:dyDescent="0.3">
      <c r="A52" t="str">
        <f t="shared" si="0"/>
        <v>ETHW000388-R000-NI</v>
      </c>
      <c r="B52" t="s">
        <v>14</v>
      </c>
      <c r="C52" t="s">
        <v>1651</v>
      </c>
      <c r="D52" t="s">
        <v>67</v>
      </c>
      <c r="E52" t="s">
        <v>1652</v>
      </c>
      <c r="F52" t="s">
        <v>18</v>
      </c>
      <c r="G52" t="s">
        <v>210</v>
      </c>
      <c r="H52">
        <v>0</v>
      </c>
      <c r="I52">
        <v>100</v>
      </c>
      <c r="J52">
        <v>540</v>
      </c>
      <c r="K52">
        <v>54000</v>
      </c>
      <c r="L52">
        <v>0</v>
      </c>
      <c r="M52">
        <v>54000</v>
      </c>
      <c r="N52" t="s">
        <v>534</v>
      </c>
      <c r="O52" t="s">
        <v>21</v>
      </c>
    </row>
    <row r="53" spans="1:15" x14ac:dyDescent="0.3">
      <c r="A53" t="str">
        <f t="shared" si="0"/>
        <v>ETHW000388-R000-NI</v>
      </c>
      <c r="B53" t="s">
        <v>14</v>
      </c>
      <c r="C53" t="s">
        <v>1651</v>
      </c>
      <c r="D53" t="s">
        <v>67</v>
      </c>
      <c r="E53" t="s">
        <v>1652</v>
      </c>
      <c r="F53" t="s">
        <v>18</v>
      </c>
      <c r="G53" t="s">
        <v>19</v>
      </c>
      <c r="H53">
        <v>0</v>
      </c>
      <c r="I53">
        <v>300</v>
      </c>
      <c r="J53">
        <v>540</v>
      </c>
      <c r="K53">
        <v>162000</v>
      </c>
      <c r="L53">
        <v>0</v>
      </c>
      <c r="M53">
        <v>162000</v>
      </c>
      <c r="N53" t="s">
        <v>534</v>
      </c>
      <c r="O53" t="s">
        <v>21</v>
      </c>
    </row>
    <row r="54" spans="1:15" x14ac:dyDescent="0.3">
      <c r="A54" t="str">
        <f t="shared" si="0"/>
        <v>ETHW000388-R000-NI</v>
      </c>
      <c r="B54" t="s">
        <v>14</v>
      </c>
      <c r="C54" t="s">
        <v>1651</v>
      </c>
      <c r="D54" t="s">
        <v>67</v>
      </c>
      <c r="E54" t="s">
        <v>1652</v>
      </c>
      <c r="F54" t="s">
        <v>18</v>
      </c>
      <c r="G54" t="s">
        <v>49</v>
      </c>
      <c r="H54">
        <v>0</v>
      </c>
      <c r="I54">
        <v>14100</v>
      </c>
      <c r="J54">
        <v>540</v>
      </c>
      <c r="K54">
        <v>7614000</v>
      </c>
      <c r="L54">
        <v>0</v>
      </c>
      <c r="M54">
        <v>7614000</v>
      </c>
      <c r="N54" t="s">
        <v>534</v>
      </c>
      <c r="O54" t="s">
        <v>21</v>
      </c>
    </row>
    <row r="55" spans="1:15" x14ac:dyDescent="0.3">
      <c r="A55" t="str">
        <f t="shared" si="0"/>
        <v>ETHW000388-R000-NI</v>
      </c>
      <c r="B55" t="s">
        <v>14</v>
      </c>
      <c r="C55" t="s">
        <v>1651</v>
      </c>
      <c r="D55" t="s">
        <v>67</v>
      </c>
      <c r="E55" t="s">
        <v>1652</v>
      </c>
      <c r="F55" t="s">
        <v>18</v>
      </c>
      <c r="G55" t="s">
        <v>35</v>
      </c>
      <c r="H55">
        <v>0</v>
      </c>
      <c r="I55">
        <v>9000</v>
      </c>
      <c r="J55">
        <v>540</v>
      </c>
      <c r="K55">
        <v>4860000</v>
      </c>
      <c r="L55">
        <v>0</v>
      </c>
      <c r="M55">
        <v>4860000</v>
      </c>
      <c r="N55" t="s">
        <v>534</v>
      </c>
      <c r="O55" t="s">
        <v>21</v>
      </c>
    </row>
    <row r="56" spans="1:15" x14ac:dyDescent="0.3">
      <c r="A56" t="str">
        <f t="shared" si="0"/>
        <v>ETHW000388-R000-NI</v>
      </c>
      <c r="B56" t="s">
        <v>14</v>
      </c>
      <c r="C56" t="s">
        <v>1651</v>
      </c>
      <c r="D56" t="s">
        <v>67</v>
      </c>
      <c r="E56" t="s">
        <v>1652</v>
      </c>
      <c r="F56" t="s">
        <v>18</v>
      </c>
      <c r="G56" t="s">
        <v>23</v>
      </c>
      <c r="H56">
        <v>0</v>
      </c>
      <c r="I56">
        <v>2100</v>
      </c>
      <c r="J56">
        <v>540</v>
      </c>
      <c r="K56">
        <v>1134000</v>
      </c>
      <c r="L56">
        <v>0</v>
      </c>
      <c r="M56">
        <v>1134000</v>
      </c>
      <c r="N56" t="s">
        <v>534</v>
      </c>
      <c r="O56" t="s">
        <v>21</v>
      </c>
    </row>
    <row r="57" spans="1:15" x14ac:dyDescent="0.3">
      <c r="A57" t="str">
        <f t="shared" si="0"/>
        <v>ETHW000429-R000-CR</v>
      </c>
      <c r="B57" t="s">
        <v>14</v>
      </c>
      <c r="C57" t="s">
        <v>80</v>
      </c>
      <c r="D57" t="s">
        <v>81</v>
      </c>
      <c r="E57" t="s">
        <v>82</v>
      </c>
      <c r="F57" t="s">
        <v>18</v>
      </c>
      <c r="G57" t="s">
        <v>29</v>
      </c>
      <c r="H57">
        <v>0</v>
      </c>
      <c r="I57">
        <v>49</v>
      </c>
      <c r="J57">
        <v>5150</v>
      </c>
      <c r="K57">
        <v>252350</v>
      </c>
      <c r="L57">
        <v>0</v>
      </c>
      <c r="M57">
        <v>252350</v>
      </c>
      <c r="O57" t="s">
        <v>21</v>
      </c>
    </row>
    <row r="58" spans="1:15" x14ac:dyDescent="0.3">
      <c r="A58" t="str">
        <f t="shared" si="0"/>
        <v>ETHW000430-R000-XX</v>
      </c>
      <c r="B58" t="s">
        <v>14</v>
      </c>
      <c r="C58" t="s">
        <v>84</v>
      </c>
      <c r="D58" t="s">
        <v>16</v>
      </c>
      <c r="E58" t="s">
        <v>85</v>
      </c>
      <c r="F58" t="s">
        <v>18</v>
      </c>
      <c r="G58" t="s">
        <v>22</v>
      </c>
      <c r="H58">
        <v>0</v>
      </c>
      <c r="I58">
        <v>50</v>
      </c>
      <c r="J58">
        <v>3300</v>
      </c>
      <c r="K58">
        <v>165000</v>
      </c>
      <c r="L58">
        <v>0</v>
      </c>
      <c r="M58">
        <v>165000</v>
      </c>
      <c r="O58" t="s">
        <v>21</v>
      </c>
    </row>
    <row r="59" spans="1:15" x14ac:dyDescent="0.3">
      <c r="A59" t="str">
        <f t="shared" si="0"/>
        <v>ETHW000434-R000-DG</v>
      </c>
      <c r="B59" t="s">
        <v>14</v>
      </c>
      <c r="C59" t="s">
        <v>1653</v>
      </c>
      <c r="D59" t="s">
        <v>1213</v>
      </c>
      <c r="E59" t="s">
        <v>1654</v>
      </c>
      <c r="F59" t="s">
        <v>18</v>
      </c>
      <c r="G59" t="s">
        <v>29</v>
      </c>
      <c r="H59">
        <v>0</v>
      </c>
      <c r="I59">
        <v>40</v>
      </c>
      <c r="J59">
        <v>600</v>
      </c>
      <c r="K59">
        <v>24000</v>
      </c>
      <c r="L59">
        <v>0</v>
      </c>
      <c r="M59">
        <v>24000</v>
      </c>
      <c r="N59" t="s">
        <v>1655</v>
      </c>
      <c r="O59" t="s">
        <v>21</v>
      </c>
    </row>
    <row r="60" spans="1:15" x14ac:dyDescent="0.3">
      <c r="A60" t="str">
        <f t="shared" si="0"/>
        <v>ETHW000444-R000-CR</v>
      </c>
      <c r="B60" t="s">
        <v>14</v>
      </c>
      <c r="C60" t="s">
        <v>88</v>
      </c>
      <c r="D60" t="s">
        <v>81</v>
      </c>
      <c r="E60" t="s">
        <v>89</v>
      </c>
      <c r="F60" t="s">
        <v>18</v>
      </c>
      <c r="G60" t="s">
        <v>23</v>
      </c>
      <c r="H60">
        <v>0</v>
      </c>
      <c r="I60">
        <v>64</v>
      </c>
      <c r="J60">
        <v>3170</v>
      </c>
      <c r="K60">
        <v>202880</v>
      </c>
      <c r="L60">
        <v>0</v>
      </c>
      <c r="M60">
        <v>202880</v>
      </c>
      <c r="N60" t="s">
        <v>90</v>
      </c>
      <c r="O60" t="s">
        <v>21</v>
      </c>
    </row>
    <row r="61" spans="1:15" x14ac:dyDescent="0.3">
      <c r="A61" t="str">
        <f t="shared" si="0"/>
        <v>ETHW000461-R000-XX</v>
      </c>
      <c r="B61" t="s">
        <v>14</v>
      </c>
      <c r="C61" t="s">
        <v>91</v>
      </c>
      <c r="D61" t="s">
        <v>16</v>
      </c>
      <c r="E61" t="s">
        <v>92</v>
      </c>
      <c r="F61" t="s">
        <v>18</v>
      </c>
      <c r="G61" t="s">
        <v>29</v>
      </c>
      <c r="H61">
        <v>0</v>
      </c>
      <c r="I61">
        <v>7</v>
      </c>
      <c r="J61">
        <v>110</v>
      </c>
      <c r="K61">
        <v>770</v>
      </c>
      <c r="L61">
        <v>0</v>
      </c>
      <c r="M61">
        <v>770</v>
      </c>
      <c r="O61" t="s">
        <v>21</v>
      </c>
    </row>
    <row r="62" spans="1:15" x14ac:dyDescent="0.3">
      <c r="A62" t="str">
        <f t="shared" si="0"/>
        <v>ETHW000468-R000-XX</v>
      </c>
      <c r="B62" t="s">
        <v>14</v>
      </c>
      <c r="C62" t="s">
        <v>93</v>
      </c>
      <c r="D62" t="s">
        <v>16</v>
      </c>
      <c r="E62" t="s">
        <v>94</v>
      </c>
      <c r="F62" t="s">
        <v>18</v>
      </c>
      <c r="G62" t="s">
        <v>29</v>
      </c>
      <c r="H62">
        <v>0</v>
      </c>
      <c r="I62">
        <v>15</v>
      </c>
      <c r="J62">
        <v>3530</v>
      </c>
      <c r="K62">
        <v>52950</v>
      </c>
      <c r="L62">
        <v>0</v>
      </c>
      <c r="M62">
        <v>52950</v>
      </c>
      <c r="N62" t="s">
        <v>95</v>
      </c>
      <c r="O62" t="s">
        <v>21</v>
      </c>
    </row>
    <row r="63" spans="1:15" x14ac:dyDescent="0.3">
      <c r="A63" t="str">
        <f t="shared" si="0"/>
        <v>ETHW000475-R000-XX</v>
      </c>
      <c r="B63" t="s">
        <v>14</v>
      </c>
      <c r="C63" t="s">
        <v>96</v>
      </c>
      <c r="D63" t="s">
        <v>16</v>
      </c>
      <c r="E63" t="s">
        <v>97</v>
      </c>
      <c r="F63" t="s">
        <v>18</v>
      </c>
      <c r="G63" t="s">
        <v>29</v>
      </c>
      <c r="H63">
        <v>0</v>
      </c>
      <c r="I63">
        <v>31</v>
      </c>
      <c r="J63">
        <v>3530</v>
      </c>
      <c r="K63">
        <v>109430</v>
      </c>
      <c r="L63">
        <v>0</v>
      </c>
      <c r="M63">
        <v>109430</v>
      </c>
      <c r="N63" t="s">
        <v>98</v>
      </c>
      <c r="O63" t="s">
        <v>21</v>
      </c>
    </row>
    <row r="64" spans="1:15" x14ac:dyDescent="0.3">
      <c r="A64" t="str">
        <f t="shared" si="0"/>
        <v>ETHW000476-R000-BK</v>
      </c>
      <c r="B64" t="s">
        <v>14</v>
      </c>
      <c r="C64" t="s">
        <v>99</v>
      </c>
      <c r="D64" t="s">
        <v>31</v>
      </c>
      <c r="E64" t="s">
        <v>100</v>
      </c>
      <c r="F64" t="s">
        <v>18</v>
      </c>
      <c r="G64" t="s">
        <v>68</v>
      </c>
      <c r="H64">
        <v>0</v>
      </c>
      <c r="I64">
        <v>400</v>
      </c>
      <c r="J64">
        <v>720</v>
      </c>
      <c r="K64">
        <v>288000</v>
      </c>
      <c r="L64">
        <v>0</v>
      </c>
      <c r="M64">
        <v>288000</v>
      </c>
      <c r="N64" t="s">
        <v>101</v>
      </c>
      <c r="O64" t="s">
        <v>21</v>
      </c>
    </row>
    <row r="65" spans="1:15" x14ac:dyDescent="0.3">
      <c r="A65" t="str">
        <f t="shared" si="0"/>
        <v>ETHW000481-R000-BK</v>
      </c>
      <c r="B65" t="s">
        <v>14</v>
      </c>
      <c r="C65" t="s">
        <v>103</v>
      </c>
      <c r="D65" t="s">
        <v>31</v>
      </c>
      <c r="E65" t="s">
        <v>104</v>
      </c>
      <c r="F65" t="s">
        <v>18</v>
      </c>
      <c r="G65" t="s">
        <v>29</v>
      </c>
      <c r="H65">
        <v>0</v>
      </c>
      <c r="I65">
        <v>16</v>
      </c>
      <c r="J65">
        <v>1450</v>
      </c>
      <c r="K65">
        <v>23200</v>
      </c>
      <c r="L65">
        <v>0</v>
      </c>
      <c r="M65">
        <v>23200</v>
      </c>
      <c r="N65" t="s">
        <v>105</v>
      </c>
      <c r="O65" t="s">
        <v>21</v>
      </c>
    </row>
    <row r="66" spans="1:15" x14ac:dyDescent="0.3">
      <c r="A66" t="str">
        <f t="shared" si="0"/>
        <v>ETHW000481-R000-BK</v>
      </c>
      <c r="B66" t="s">
        <v>14</v>
      </c>
      <c r="C66" t="s">
        <v>103</v>
      </c>
      <c r="D66" t="s">
        <v>31</v>
      </c>
      <c r="E66" t="s">
        <v>104</v>
      </c>
      <c r="F66" t="s">
        <v>18</v>
      </c>
      <c r="G66" t="s">
        <v>49</v>
      </c>
      <c r="H66">
        <v>0</v>
      </c>
      <c r="I66">
        <v>480</v>
      </c>
      <c r="J66">
        <v>1450</v>
      </c>
      <c r="K66">
        <v>696000</v>
      </c>
      <c r="L66">
        <v>0</v>
      </c>
      <c r="M66">
        <v>696000</v>
      </c>
      <c r="N66" t="s">
        <v>105</v>
      </c>
      <c r="O66" t="s">
        <v>21</v>
      </c>
    </row>
    <row r="67" spans="1:15" x14ac:dyDescent="0.3">
      <c r="A67" t="str">
        <f t="shared" ref="A67:A130" si="1">C67&amp;"-"&amp;D67</f>
        <v>ETHW000481-R000-BK</v>
      </c>
      <c r="B67" t="s">
        <v>14</v>
      </c>
      <c r="C67" t="s">
        <v>103</v>
      </c>
      <c r="D67" t="s">
        <v>31</v>
      </c>
      <c r="E67" t="s">
        <v>104</v>
      </c>
      <c r="F67" t="s">
        <v>18</v>
      </c>
      <c r="G67" t="s">
        <v>22</v>
      </c>
      <c r="H67">
        <v>0</v>
      </c>
      <c r="I67">
        <v>2</v>
      </c>
      <c r="J67">
        <v>1450</v>
      </c>
      <c r="K67">
        <v>2900</v>
      </c>
      <c r="L67">
        <v>0</v>
      </c>
      <c r="M67">
        <v>2900</v>
      </c>
      <c r="N67" t="s">
        <v>105</v>
      </c>
      <c r="O67" t="s">
        <v>21</v>
      </c>
    </row>
    <row r="68" spans="1:15" x14ac:dyDescent="0.3">
      <c r="A68" t="str">
        <f t="shared" si="1"/>
        <v>ETHW000481-R000-BK</v>
      </c>
      <c r="B68" t="s">
        <v>14</v>
      </c>
      <c r="C68" t="s">
        <v>103</v>
      </c>
      <c r="D68" t="s">
        <v>31</v>
      </c>
      <c r="E68" t="s">
        <v>104</v>
      </c>
      <c r="F68" t="s">
        <v>18</v>
      </c>
      <c r="G68" t="s">
        <v>35</v>
      </c>
      <c r="H68">
        <v>0</v>
      </c>
      <c r="I68">
        <v>1225</v>
      </c>
      <c r="J68">
        <v>1450</v>
      </c>
      <c r="K68">
        <v>1776250</v>
      </c>
      <c r="L68">
        <v>0</v>
      </c>
      <c r="M68">
        <v>1776250</v>
      </c>
      <c r="N68" t="s">
        <v>105</v>
      </c>
      <c r="O68" t="s">
        <v>21</v>
      </c>
    </row>
    <row r="69" spans="1:15" x14ac:dyDescent="0.3">
      <c r="A69" t="str">
        <f t="shared" si="1"/>
        <v>ETHW000485-R000-BK</v>
      </c>
      <c r="B69" t="s">
        <v>14</v>
      </c>
      <c r="C69" t="s">
        <v>106</v>
      </c>
      <c r="D69" t="s">
        <v>31</v>
      </c>
      <c r="E69" t="s">
        <v>107</v>
      </c>
      <c r="F69" t="s">
        <v>18</v>
      </c>
      <c r="G69" t="s">
        <v>29</v>
      </c>
      <c r="H69">
        <v>0</v>
      </c>
      <c r="I69">
        <v>3</v>
      </c>
      <c r="J69">
        <v>10050</v>
      </c>
      <c r="K69">
        <v>30150</v>
      </c>
      <c r="L69">
        <v>0</v>
      </c>
      <c r="M69">
        <v>30150</v>
      </c>
      <c r="O69" t="s">
        <v>21</v>
      </c>
    </row>
    <row r="70" spans="1:15" x14ac:dyDescent="0.3">
      <c r="A70" t="str">
        <f t="shared" si="1"/>
        <v>ETHW000486-R000-CR</v>
      </c>
      <c r="B70" t="s">
        <v>14</v>
      </c>
      <c r="C70" t="s">
        <v>1656</v>
      </c>
      <c r="D70" t="s">
        <v>81</v>
      </c>
      <c r="E70" t="s">
        <v>1657</v>
      </c>
      <c r="F70" t="s">
        <v>18</v>
      </c>
      <c r="G70" t="s">
        <v>22</v>
      </c>
      <c r="H70">
        <v>0</v>
      </c>
      <c r="I70">
        <v>13</v>
      </c>
      <c r="J70">
        <v>2680</v>
      </c>
      <c r="K70">
        <v>34840</v>
      </c>
      <c r="L70">
        <v>0</v>
      </c>
      <c r="M70">
        <v>34840</v>
      </c>
      <c r="N70" t="s">
        <v>1658</v>
      </c>
      <c r="O70" t="s">
        <v>21</v>
      </c>
    </row>
    <row r="71" spans="1:15" x14ac:dyDescent="0.3">
      <c r="A71" t="str">
        <f t="shared" si="1"/>
        <v>ETHW000487-R000-CR</v>
      </c>
      <c r="B71" t="s">
        <v>14</v>
      </c>
      <c r="C71" t="s">
        <v>1659</v>
      </c>
      <c r="D71" t="s">
        <v>81</v>
      </c>
      <c r="E71" t="s">
        <v>1660</v>
      </c>
      <c r="F71" t="s">
        <v>18</v>
      </c>
      <c r="G71" t="s">
        <v>22</v>
      </c>
      <c r="H71">
        <v>0</v>
      </c>
      <c r="I71">
        <v>86</v>
      </c>
      <c r="J71">
        <v>2790</v>
      </c>
      <c r="K71">
        <v>239940</v>
      </c>
      <c r="L71">
        <v>0</v>
      </c>
      <c r="M71">
        <v>239940</v>
      </c>
      <c r="N71" t="s">
        <v>1661</v>
      </c>
      <c r="O71" t="s">
        <v>21</v>
      </c>
    </row>
    <row r="72" spans="1:15" x14ac:dyDescent="0.3">
      <c r="A72" t="str">
        <f t="shared" si="1"/>
        <v>ETHW000487-R000-CR</v>
      </c>
      <c r="B72" t="s">
        <v>14</v>
      </c>
      <c r="C72" t="s">
        <v>1659</v>
      </c>
      <c r="D72" t="s">
        <v>81</v>
      </c>
      <c r="E72" t="s">
        <v>1660</v>
      </c>
      <c r="F72" t="s">
        <v>18</v>
      </c>
      <c r="G72" t="s">
        <v>29</v>
      </c>
      <c r="H72">
        <v>0</v>
      </c>
      <c r="I72">
        <v>1</v>
      </c>
      <c r="J72">
        <v>2790</v>
      </c>
      <c r="K72">
        <v>2790</v>
      </c>
      <c r="L72">
        <v>0</v>
      </c>
      <c r="M72">
        <v>2790</v>
      </c>
      <c r="N72" t="s">
        <v>1661</v>
      </c>
      <c r="O72" t="s">
        <v>21</v>
      </c>
    </row>
    <row r="73" spans="1:15" x14ac:dyDescent="0.3">
      <c r="A73" t="str">
        <f t="shared" si="1"/>
        <v>ETHW000488-R000-CR</v>
      </c>
      <c r="B73" t="s">
        <v>14</v>
      </c>
      <c r="C73" t="s">
        <v>108</v>
      </c>
      <c r="D73" t="s">
        <v>81</v>
      </c>
      <c r="E73" t="s">
        <v>109</v>
      </c>
      <c r="F73" t="s">
        <v>18</v>
      </c>
      <c r="G73" t="s">
        <v>111</v>
      </c>
      <c r="H73">
        <v>0</v>
      </c>
      <c r="I73">
        <v>30</v>
      </c>
      <c r="J73">
        <v>2390</v>
      </c>
      <c r="K73">
        <v>71700</v>
      </c>
      <c r="L73">
        <v>0</v>
      </c>
      <c r="M73">
        <v>71700</v>
      </c>
      <c r="N73" t="s">
        <v>110</v>
      </c>
      <c r="O73" t="s">
        <v>21</v>
      </c>
    </row>
    <row r="74" spans="1:15" x14ac:dyDescent="0.3">
      <c r="A74" t="str">
        <f t="shared" si="1"/>
        <v>ETHW000488-R000-CR</v>
      </c>
      <c r="B74" t="s">
        <v>14</v>
      </c>
      <c r="C74" t="s">
        <v>108</v>
      </c>
      <c r="D74" t="s">
        <v>81</v>
      </c>
      <c r="E74" t="s">
        <v>109</v>
      </c>
      <c r="F74" t="s">
        <v>18</v>
      </c>
      <c r="G74" t="s">
        <v>22</v>
      </c>
      <c r="H74">
        <v>0</v>
      </c>
      <c r="I74">
        <v>9</v>
      </c>
      <c r="J74">
        <v>2390</v>
      </c>
      <c r="K74">
        <v>21510</v>
      </c>
      <c r="L74">
        <v>0</v>
      </c>
      <c r="M74">
        <v>21510</v>
      </c>
      <c r="N74" t="s">
        <v>110</v>
      </c>
      <c r="O74" t="s">
        <v>21</v>
      </c>
    </row>
    <row r="75" spans="1:15" x14ac:dyDescent="0.3">
      <c r="A75" t="str">
        <f t="shared" si="1"/>
        <v>ETHW000488-R000-CR</v>
      </c>
      <c r="B75" t="s">
        <v>14</v>
      </c>
      <c r="C75" t="s">
        <v>108</v>
      </c>
      <c r="D75" t="s">
        <v>81</v>
      </c>
      <c r="E75" t="s">
        <v>109</v>
      </c>
      <c r="F75" t="s">
        <v>18</v>
      </c>
      <c r="G75" t="s">
        <v>35</v>
      </c>
      <c r="H75">
        <v>0</v>
      </c>
      <c r="I75">
        <v>20</v>
      </c>
      <c r="J75">
        <v>2390</v>
      </c>
      <c r="K75">
        <v>47800</v>
      </c>
      <c r="L75">
        <v>0</v>
      </c>
      <c r="M75">
        <v>47800</v>
      </c>
      <c r="N75" t="s">
        <v>110</v>
      </c>
      <c r="O75" t="s">
        <v>21</v>
      </c>
    </row>
    <row r="76" spans="1:15" x14ac:dyDescent="0.3">
      <c r="A76" t="str">
        <f t="shared" si="1"/>
        <v>ETHW000489-R000-CR</v>
      </c>
      <c r="B76" t="s">
        <v>14</v>
      </c>
      <c r="C76" t="s">
        <v>112</v>
      </c>
      <c r="D76" t="s">
        <v>81</v>
      </c>
      <c r="E76" t="s">
        <v>113</v>
      </c>
      <c r="F76" t="s">
        <v>18</v>
      </c>
      <c r="G76" t="s">
        <v>22</v>
      </c>
      <c r="H76">
        <v>0</v>
      </c>
      <c r="I76">
        <v>9</v>
      </c>
      <c r="J76">
        <v>910</v>
      </c>
      <c r="K76">
        <v>8190</v>
      </c>
      <c r="L76">
        <v>0</v>
      </c>
      <c r="M76">
        <v>8190</v>
      </c>
      <c r="N76" t="s">
        <v>110</v>
      </c>
      <c r="O76" t="s">
        <v>21</v>
      </c>
    </row>
    <row r="77" spans="1:15" x14ac:dyDescent="0.3">
      <c r="A77" t="str">
        <f t="shared" si="1"/>
        <v>ETHW000489-R000-CR</v>
      </c>
      <c r="B77" t="s">
        <v>14</v>
      </c>
      <c r="C77" t="s">
        <v>112</v>
      </c>
      <c r="D77" t="s">
        <v>81</v>
      </c>
      <c r="E77" t="s">
        <v>113</v>
      </c>
      <c r="F77" t="s">
        <v>18</v>
      </c>
      <c r="G77" t="s">
        <v>35</v>
      </c>
      <c r="H77">
        <v>0</v>
      </c>
      <c r="I77">
        <v>20</v>
      </c>
      <c r="J77">
        <v>910</v>
      </c>
      <c r="K77">
        <v>18200</v>
      </c>
      <c r="L77">
        <v>0</v>
      </c>
      <c r="M77">
        <v>18200</v>
      </c>
      <c r="N77" t="s">
        <v>110</v>
      </c>
      <c r="O77" t="s">
        <v>21</v>
      </c>
    </row>
    <row r="78" spans="1:15" x14ac:dyDescent="0.3">
      <c r="A78" t="str">
        <f t="shared" si="1"/>
        <v>ETHW000489-R000-CR</v>
      </c>
      <c r="B78" t="s">
        <v>14</v>
      </c>
      <c r="C78" t="s">
        <v>112</v>
      </c>
      <c r="D78" t="s">
        <v>81</v>
      </c>
      <c r="E78" t="s">
        <v>113</v>
      </c>
      <c r="F78" t="s">
        <v>18</v>
      </c>
      <c r="G78" t="s">
        <v>111</v>
      </c>
      <c r="H78">
        <v>0</v>
      </c>
      <c r="I78">
        <v>30</v>
      </c>
      <c r="J78">
        <v>910</v>
      </c>
      <c r="K78">
        <v>27300</v>
      </c>
      <c r="L78">
        <v>0</v>
      </c>
      <c r="M78">
        <v>27300</v>
      </c>
      <c r="N78" t="s">
        <v>110</v>
      </c>
      <c r="O78" t="s">
        <v>21</v>
      </c>
    </row>
    <row r="79" spans="1:15" x14ac:dyDescent="0.3">
      <c r="A79" t="str">
        <f t="shared" si="1"/>
        <v>ETHW000490-R000-CR</v>
      </c>
      <c r="B79" t="s">
        <v>14</v>
      </c>
      <c r="C79" t="s">
        <v>114</v>
      </c>
      <c r="D79" t="s">
        <v>81</v>
      </c>
      <c r="E79" t="s">
        <v>115</v>
      </c>
      <c r="F79" t="s">
        <v>18</v>
      </c>
      <c r="G79" t="s">
        <v>210</v>
      </c>
      <c r="H79">
        <v>0</v>
      </c>
      <c r="I79">
        <v>24</v>
      </c>
      <c r="J79">
        <v>2160</v>
      </c>
      <c r="K79">
        <v>51840</v>
      </c>
      <c r="L79">
        <v>0</v>
      </c>
      <c r="M79">
        <v>51840</v>
      </c>
      <c r="N79" t="s">
        <v>116</v>
      </c>
      <c r="O79" t="s">
        <v>21</v>
      </c>
    </row>
    <row r="80" spans="1:15" x14ac:dyDescent="0.3">
      <c r="A80" t="str">
        <f t="shared" si="1"/>
        <v>ETHW000490-R000-CR</v>
      </c>
      <c r="B80" t="s">
        <v>14</v>
      </c>
      <c r="C80" t="s">
        <v>114</v>
      </c>
      <c r="D80" t="s">
        <v>81</v>
      </c>
      <c r="E80" t="s">
        <v>115</v>
      </c>
      <c r="F80" t="s">
        <v>18</v>
      </c>
      <c r="G80" t="s">
        <v>22</v>
      </c>
      <c r="H80">
        <v>0</v>
      </c>
      <c r="I80">
        <v>3</v>
      </c>
      <c r="J80">
        <v>2300</v>
      </c>
      <c r="K80">
        <v>6900</v>
      </c>
      <c r="L80">
        <v>0</v>
      </c>
      <c r="M80">
        <v>6900</v>
      </c>
      <c r="N80" t="s">
        <v>116</v>
      </c>
      <c r="O80" t="s">
        <v>21</v>
      </c>
    </row>
    <row r="81" spans="1:15" x14ac:dyDescent="0.3">
      <c r="A81" t="str">
        <f t="shared" si="1"/>
        <v>ETHW000491-R000-BK</v>
      </c>
      <c r="B81" t="s">
        <v>14</v>
      </c>
      <c r="C81" t="s">
        <v>1662</v>
      </c>
      <c r="D81" t="s">
        <v>31</v>
      </c>
      <c r="E81" t="s">
        <v>1663</v>
      </c>
      <c r="F81" t="s">
        <v>18</v>
      </c>
      <c r="G81" t="s">
        <v>19</v>
      </c>
      <c r="H81">
        <v>0</v>
      </c>
      <c r="I81">
        <v>85</v>
      </c>
      <c r="J81">
        <v>2280</v>
      </c>
      <c r="K81">
        <v>193800</v>
      </c>
      <c r="L81">
        <v>0</v>
      </c>
      <c r="M81">
        <v>193800</v>
      </c>
      <c r="N81" t="s">
        <v>1664</v>
      </c>
      <c r="O81" t="s">
        <v>21</v>
      </c>
    </row>
    <row r="82" spans="1:15" x14ac:dyDescent="0.3">
      <c r="A82" t="str">
        <f t="shared" si="1"/>
        <v>ETHW000491-R000-BK</v>
      </c>
      <c r="B82" t="s">
        <v>14</v>
      </c>
      <c r="C82" t="s">
        <v>1662</v>
      </c>
      <c r="D82" t="s">
        <v>31</v>
      </c>
      <c r="E82" t="s">
        <v>1663</v>
      </c>
      <c r="F82" t="s">
        <v>18</v>
      </c>
      <c r="G82" t="s">
        <v>22</v>
      </c>
      <c r="H82">
        <v>0</v>
      </c>
      <c r="I82">
        <v>1</v>
      </c>
      <c r="J82">
        <v>2280</v>
      </c>
      <c r="K82">
        <v>2280</v>
      </c>
      <c r="L82">
        <v>0</v>
      </c>
      <c r="M82">
        <v>2280</v>
      </c>
      <c r="N82" t="s">
        <v>1664</v>
      </c>
      <c r="O82" t="s">
        <v>21</v>
      </c>
    </row>
    <row r="83" spans="1:15" x14ac:dyDescent="0.3">
      <c r="A83" t="str">
        <f t="shared" si="1"/>
        <v>ETHW000492-R000-BK</v>
      </c>
      <c r="B83" t="s">
        <v>14</v>
      </c>
      <c r="C83" t="s">
        <v>1665</v>
      </c>
      <c r="D83" t="s">
        <v>31</v>
      </c>
      <c r="E83" t="s">
        <v>1666</v>
      </c>
      <c r="F83" t="s">
        <v>18</v>
      </c>
      <c r="G83" t="s">
        <v>19</v>
      </c>
      <c r="H83">
        <v>0</v>
      </c>
      <c r="I83">
        <v>85</v>
      </c>
      <c r="J83">
        <v>930</v>
      </c>
      <c r="K83">
        <v>79050</v>
      </c>
      <c r="L83">
        <v>0</v>
      </c>
      <c r="M83">
        <v>79050</v>
      </c>
      <c r="N83" t="s">
        <v>1664</v>
      </c>
      <c r="O83" t="s">
        <v>21</v>
      </c>
    </row>
    <row r="84" spans="1:15" x14ac:dyDescent="0.3">
      <c r="A84" t="str">
        <f t="shared" si="1"/>
        <v>ETHW000492-R000-BK</v>
      </c>
      <c r="B84" t="s">
        <v>14</v>
      </c>
      <c r="C84" t="s">
        <v>1665</v>
      </c>
      <c r="D84" t="s">
        <v>31</v>
      </c>
      <c r="E84" t="s">
        <v>1666</v>
      </c>
      <c r="F84" t="s">
        <v>18</v>
      </c>
      <c r="G84" t="s">
        <v>22</v>
      </c>
      <c r="H84">
        <v>0</v>
      </c>
      <c r="I84">
        <v>1</v>
      </c>
      <c r="J84">
        <v>930</v>
      </c>
      <c r="K84">
        <v>930</v>
      </c>
      <c r="L84">
        <v>0</v>
      </c>
      <c r="M84">
        <v>930</v>
      </c>
      <c r="N84" t="s">
        <v>1664</v>
      </c>
      <c r="O84" t="s">
        <v>21</v>
      </c>
    </row>
    <row r="85" spans="1:15" x14ac:dyDescent="0.3">
      <c r="A85" t="str">
        <f t="shared" si="1"/>
        <v>ETHW000497-R000-BK</v>
      </c>
      <c r="B85" t="s">
        <v>14</v>
      </c>
      <c r="C85" t="s">
        <v>117</v>
      </c>
      <c r="D85" t="s">
        <v>31</v>
      </c>
      <c r="E85" t="s">
        <v>118</v>
      </c>
      <c r="F85" t="s">
        <v>18</v>
      </c>
      <c r="G85" t="s">
        <v>120</v>
      </c>
      <c r="H85">
        <v>0</v>
      </c>
      <c r="I85">
        <v>1000</v>
      </c>
      <c r="J85">
        <v>1440</v>
      </c>
      <c r="K85">
        <v>1440000</v>
      </c>
      <c r="L85">
        <v>0</v>
      </c>
      <c r="M85">
        <v>1440000</v>
      </c>
      <c r="N85" t="s">
        <v>101</v>
      </c>
      <c r="O85" t="s">
        <v>21</v>
      </c>
    </row>
    <row r="86" spans="1:15" x14ac:dyDescent="0.3">
      <c r="A86" t="str">
        <f t="shared" si="1"/>
        <v>ETHW000497-R000-BK</v>
      </c>
      <c r="B86" t="s">
        <v>14</v>
      </c>
      <c r="C86" t="s">
        <v>117</v>
      </c>
      <c r="D86" t="s">
        <v>31</v>
      </c>
      <c r="E86" t="s">
        <v>118</v>
      </c>
      <c r="F86" t="s">
        <v>18</v>
      </c>
      <c r="G86" t="s">
        <v>119</v>
      </c>
      <c r="H86">
        <v>0</v>
      </c>
      <c r="I86">
        <v>0</v>
      </c>
      <c r="J86">
        <v>1440</v>
      </c>
      <c r="K86">
        <v>0</v>
      </c>
      <c r="L86">
        <v>0</v>
      </c>
      <c r="M86">
        <v>0</v>
      </c>
      <c r="N86" t="s">
        <v>101</v>
      </c>
      <c r="O86" t="s">
        <v>21</v>
      </c>
    </row>
    <row r="87" spans="1:15" x14ac:dyDescent="0.3">
      <c r="A87" t="str">
        <f t="shared" si="1"/>
        <v>ETHW000498-R000-BK</v>
      </c>
      <c r="B87" t="s">
        <v>14</v>
      </c>
      <c r="C87" t="s">
        <v>121</v>
      </c>
      <c r="D87" t="s">
        <v>31</v>
      </c>
      <c r="E87" t="s">
        <v>122</v>
      </c>
      <c r="F87" t="s">
        <v>18</v>
      </c>
      <c r="G87" t="s">
        <v>23</v>
      </c>
      <c r="H87">
        <v>0</v>
      </c>
      <c r="I87">
        <v>30</v>
      </c>
      <c r="J87">
        <v>200</v>
      </c>
      <c r="K87">
        <v>6000</v>
      </c>
      <c r="L87">
        <v>0</v>
      </c>
      <c r="M87">
        <v>6000</v>
      </c>
      <c r="O87" t="s">
        <v>21</v>
      </c>
    </row>
    <row r="88" spans="1:15" x14ac:dyDescent="0.3">
      <c r="A88" t="str">
        <f t="shared" si="1"/>
        <v>ETHW000499-R000-MM</v>
      </c>
      <c r="B88" t="s">
        <v>14</v>
      </c>
      <c r="C88" t="s">
        <v>123</v>
      </c>
      <c r="D88" t="s">
        <v>57</v>
      </c>
      <c r="E88" t="s">
        <v>124</v>
      </c>
      <c r="F88" t="s">
        <v>18</v>
      </c>
      <c r="G88" t="s">
        <v>49</v>
      </c>
      <c r="H88">
        <v>0</v>
      </c>
      <c r="I88">
        <v>600</v>
      </c>
      <c r="J88">
        <v>150</v>
      </c>
      <c r="K88">
        <v>90000</v>
      </c>
      <c r="L88">
        <v>0</v>
      </c>
      <c r="M88">
        <v>90000</v>
      </c>
      <c r="N88" t="s">
        <v>125</v>
      </c>
      <c r="O88" t="s">
        <v>21</v>
      </c>
    </row>
    <row r="89" spans="1:15" x14ac:dyDescent="0.3">
      <c r="A89" t="str">
        <f t="shared" si="1"/>
        <v>ETHW000500-R000-XX</v>
      </c>
      <c r="B89" t="s">
        <v>14</v>
      </c>
      <c r="C89" t="s">
        <v>126</v>
      </c>
      <c r="D89" t="s">
        <v>16</v>
      </c>
      <c r="E89" t="s">
        <v>127</v>
      </c>
      <c r="F89" t="s">
        <v>18</v>
      </c>
      <c r="G89" t="s">
        <v>29</v>
      </c>
      <c r="H89">
        <v>0</v>
      </c>
      <c r="I89">
        <v>4</v>
      </c>
      <c r="J89">
        <v>490</v>
      </c>
      <c r="K89">
        <v>1960</v>
      </c>
      <c r="L89">
        <v>0</v>
      </c>
      <c r="M89">
        <v>1960</v>
      </c>
      <c r="N89" t="s">
        <v>128</v>
      </c>
      <c r="O89" t="s">
        <v>21</v>
      </c>
    </row>
    <row r="90" spans="1:15" x14ac:dyDescent="0.3">
      <c r="A90" t="str">
        <f t="shared" si="1"/>
        <v>ETHW000500-R000-XX</v>
      </c>
      <c r="B90" t="s">
        <v>14</v>
      </c>
      <c r="C90" t="s">
        <v>126</v>
      </c>
      <c r="D90" t="s">
        <v>16</v>
      </c>
      <c r="E90" t="s">
        <v>127</v>
      </c>
      <c r="F90" t="s">
        <v>18</v>
      </c>
      <c r="G90" t="s">
        <v>120</v>
      </c>
      <c r="H90">
        <v>0</v>
      </c>
      <c r="I90">
        <v>300</v>
      </c>
      <c r="J90">
        <v>490</v>
      </c>
      <c r="K90">
        <v>147000</v>
      </c>
      <c r="L90">
        <v>0</v>
      </c>
      <c r="M90">
        <v>147000</v>
      </c>
      <c r="N90" t="s">
        <v>128</v>
      </c>
      <c r="O90" t="s">
        <v>21</v>
      </c>
    </row>
    <row r="91" spans="1:15" x14ac:dyDescent="0.3">
      <c r="A91" t="str">
        <f t="shared" si="1"/>
        <v>ETHW000500-R000-XX</v>
      </c>
      <c r="B91" t="s">
        <v>14</v>
      </c>
      <c r="C91" t="s">
        <v>126</v>
      </c>
      <c r="D91" t="s">
        <v>16</v>
      </c>
      <c r="E91" t="s">
        <v>127</v>
      </c>
      <c r="F91" t="s">
        <v>18</v>
      </c>
      <c r="G91" t="s">
        <v>23</v>
      </c>
      <c r="H91">
        <v>0</v>
      </c>
      <c r="I91">
        <v>1100</v>
      </c>
      <c r="J91">
        <v>490</v>
      </c>
      <c r="K91">
        <v>539000</v>
      </c>
      <c r="L91">
        <v>0</v>
      </c>
      <c r="M91">
        <v>539000</v>
      </c>
      <c r="N91" t="s">
        <v>128</v>
      </c>
      <c r="O91" t="s">
        <v>21</v>
      </c>
    </row>
    <row r="92" spans="1:15" x14ac:dyDescent="0.3">
      <c r="A92" t="str">
        <f t="shared" si="1"/>
        <v>ETHW000501-R000-NA</v>
      </c>
      <c r="B92" t="s">
        <v>14</v>
      </c>
      <c r="C92" t="s">
        <v>129</v>
      </c>
      <c r="D92" t="s">
        <v>130</v>
      </c>
      <c r="E92" t="s">
        <v>131</v>
      </c>
      <c r="F92" t="s">
        <v>18</v>
      </c>
      <c r="G92" t="s">
        <v>29</v>
      </c>
      <c r="H92">
        <v>0</v>
      </c>
      <c r="I92">
        <v>3</v>
      </c>
      <c r="J92">
        <v>620</v>
      </c>
      <c r="K92">
        <v>1860</v>
      </c>
      <c r="L92">
        <v>0</v>
      </c>
      <c r="M92">
        <v>1860</v>
      </c>
      <c r="N92" t="s">
        <v>132</v>
      </c>
      <c r="O92" t="s">
        <v>21</v>
      </c>
    </row>
    <row r="93" spans="1:15" x14ac:dyDescent="0.3">
      <c r="A93" t="str">
        <f t="shared" si="1"/>
        <v>ETHW000502-R000-XX</v>
      </c>
      <c r="B93" t="s">
        <v>14</v>
      </c>
      <c r="C93" t="s">
        <v>133</v>
      </c>
      <c r="D93" t="s">
        <v>16</v>
      </c>
      <c r="E93" t="s">
        <v>134</v>
      </c>
      <c r="F93" t="s">
        <v>18</v>
      </c>
      <c r="G93" t="s">
        <v>29</v>
      </c>
      <c r="H93">
        <v>0</v>
      </c>
      <c r="I93">
        <v>4</v>
      </c>
      <c r="J93">
        <v>1290</v>
      </c>
      <c r="K93">
        <v>5160</v>
      </c>
      <c r="L93">
        <v>0</v>
      </c>
      <c r="M93">
        <v>5160</v>
      </c>
      <c r="N93" t="s">
        <v>135</v>
      </c>
      <c r="O93" t="s">
        <v>21</v>
      </c>
    </row>
    <row r="94" spans="1:15" x14ac:dyDescent="0.3">
      <c r="A94" t="str">
        <f t="shared" si="1"/>
        <v>ETHW000504-R000-XX</v>
      </c>
      <c r="B94" t="s">
        <v>14</v>
      </c>
      <c r="C94" t="s">
        <v>136</v>
      </c>
      <c r="D94" t="s">
        <v>16</v>
      </c>
      <c r="E94" t="s">
        <v>137</v>
      </c>
      <c r="F94" t="s">
        <v>18</v>
      </c>
      <c r="G94" t="s">
        <v>22</v>
      </c>
      <c r="H94">
        <v>0</v>
      </c>
      <c r="I94">
        <v>2</v>
      </c>
      <c r="J94">
        <v>1450</v>
      </c>
      <c r="K94">
        <v>2900</v>
      </c>
      <c r="L94">
        <v>0</v>
      </c>
      <c r="M94">
        <v>2900</v>
      </c>
      <c r="N94" t="s">
        <v>138</v>
      </c>
      <c r="O94" t="s">
        <v>21</v>
      </c>
    </row>
    <row r="95" spans="1:15" x14ac:dyDescent="0.3">
      <c r="A95" t="str">
        <f t="shared" si="1"/>
        <v>ETHW000508-R000-NI</v>
      </c>
      <c r="B95" t="s">
        <v>14</v>
      </c>
      <c r="C95" t="s">
        <v>1667</v>
      </c>
      <c r="D95" t="s">
        <v>67</v>
      </c>
      <c r="E95" t="s">
        <v>1668</v>
      </c>
      <c r="F95" t="s">
        <v>18</v>
      </c>
      <c r="G95" t="s">
        <v>49</v>
      </c>
      <c r="H95">
        <v>0</v>
      </c>
      <c r="I95">
        <v>0</v>
      </c>
      <c r="J95">
        <v>950</v>
      </c>
      <c r="K95">
        <v>0</v>
      </c>
      <c r="L95">
        <v>0</v>
      </c>
      <c r="M95">
        <v>0</v>
      </c>
      <c r="N95" t="s">
        <v>610</v>
      </c>
      <c r="O95" t="s">
        <v>21</v>
      </c>
    </row>
    <row r="96" spans="1:15" x14ac:dyDescent="0.3">
      <c r="A96" t="str">
        <f t="shared" si="1"/>
        <v>ETHW000508-R000-NI</v>
      </c>
      <c r="B96" t="s">
        <v>14</v>
      </c>
      <c r="C96" t="s">
        <v>1667</v>
      </c>
      <c r="D96" t="s">
        <v>67</v>
      </c>
      <c r="E96" t="s">
        <v>1668</v>
      </c>
      <c r="F96" t="s">
        <v>18</v>
      </c>
      <c r="G96" t="s">
        <v>246</v>
      </c>
      <c r="H96">
        <v>0</v>
      </c>
      <c r="I96">
        <v>900</v>
      </c>
      <c r="J96">
        <v>930</v>
      </c>
      <c r="K96">
        <v>837000</v>
      </c>
      <c r="L96">
        <v>0</v>
      </c>
      <c r="M96">
        <v>837000</v>
      </c>
      <c r="N96" t="s">
        <v>610</v>
      </c>
      <c r="O96" t="s">
        <v>21</v>
      </c>
    </row>
    <row r="97" spans="1:15" x14ac:dyDescent="0.3">
      <c r="A97" t="str">
        <f t="shared" si="1"/>
        <v>ETHW000508-R000-NI</v>
      </c>
      <c r="B97" t="s">
        <v>14</v>
      </c>
      <c r="C97" t="s">
        <v>1667</v>
      </c>
      <c r="D97" t="s">
        <v>67</v>
      </c>
      <c r="E97" t="s">
        <v>1668</v>
      </c>
      <c r="F97" t="s">
        <v>18</v>
      </c>
      <c r="G97" t="s">
        <v>49</v>
      </c>
      <c r="H97">
        <v>0</v>
      </c>
      <c r="I97">
        <v>17100</v>
      </c>
      <c r="J97">
        <v>930</v>
      </c>
      <c r="K97">
        <v>15903000</v>
      </c>
      <c r="L97">
        <v>0</v>
      </c>
      <c r="M97">
        <v>15903000</v>
      </c>
      <c r="N97" t="s">
        <v>610</v>
      </c>
      <c r="O97" t="s">
        <v>21</v>
      </c>
    </row>
    <row r="98" spans="1:15" x14ac:dyDescent="0.3">
      <c r="A98" t="str">
        <f t="shared" si="1"/>
        <v>ETHW000508-R000-NI</v>
      </c>
      <c r="B98" t="s">
        <v>14</v>
      </c>
      <c r="C98" t="s">
        <v>1667</v>
      </c>
      <c r="D98" t="s">
        <v>67</v>
      </c>
      <c r="E98" t="s">
        <v>1668</v>
      </c>
      <c r="F98" t="s">
        <v>18</v>
      </c>
      <c r="G98" t="s">
        <v>174</v>
      </c>
      <c r="H98">
        <v>0</v>
      </c>
      <c r="I98">
        <v>3000</v>
      </c>
      <c r="J98">
        <v>930</v>
      </c>
      <c r="K98">
        <v>2790000</v>
      </c>
      <c r="L98">
        <v>0</v>
      </c>
      <c r="M98">
        <v>2790000</v>
      </c>
      <c r="N98" t="s">
        <v>610</v>
      </c>
      <c r="O98" t="s">
        <v>21</v>
      </c>
    </row>
    <row r="99" spans="1:15" x14ac:dyDescent="0.3">
      <c r="A99" t="str">
        <f t="shared" si="1"/>
        <v>ETHW000508-R000-NI</v>
      </c>
      <c r="B99" t="s">
        <v>14</v>
      </c>
      <c r="C99" t="s">
        <v>1667</v>
      </c>
      <c r="D99" t="s">
        <v>67</v>
      </c>
      <c r="E99" t="s">
        <v>1668</v>
      </c>
      <c r="F99" t="s">
        <v>18</v>
      </c>
      <c r="G99" t="s">
        <v>19</v>
      </c>
      <c r="H99">
        <v>0</v>
      </c>
      <c r="I99">
        <v>3000</v>
      </c>
      <c r="J99">
        <v>930</v>
      </c>
      <c r="K99">
        <v>2790000</v>
      </c>
      <c r="L99">
        <v>0</v>
      </c>
      <c r="M99">
        <v>2790000</v>
      </c>
      <c r="N99" t="s">
        <v>610</v>
      </c>
      <c r="O99" t="s">
        <v>21</v>
      </c>
    </row>
    <row r="100" spans="1:15" x14ac:dyDescent="0.3">
      <c r="A100" t="str">
        <f t="shared" si="1"/>
        <v>ETHW000508-R000-NI</v>
      </c>
      <c r="B100" t="s">
        <v>14</v>
      </c>
      <c r="C100" t="s">
        <v>1667</v>
      </c>
      <c r="D100" t="s">
        <v>67</v>
      </c>
      <c r="E100" t="s">
        <v>1668</v>
      </c>
      <c r="F100" t="s">
        <v>18</v>
      </c>
      <c r="G100" t="s">
        <v>120</v>
      </c>
      <c r="H100">
        <v>0</v>
      </c>
      <c r="I100">
        <v>300</v>
      </c>
      <c r="J100">
        <v>950</v>
      </c>
      <c r="K100">
        <v>285000</v>
      </c>
      <c r="L100">
        <v>0</v>
      </c>
      <c r="M100">
        <v>285000</v>
      </c>
      <c r="N100" t="s">
        <v>610</v>
      </c>
      <c r="O100" t="s">
        <v>21</v>
      </c>
    </row>
    <row r="101" spans="1:15" x14ac:dyDescent="0.3">
      <c r="A101" t="str">
        <f t="shared" si="1"/>
        <v>ETHW000508-R000-NI</v>
      </c>
      <c r="B101" t="s">
        <v>14</v>
      </c>
      <c r="C101" t="s">
        <v>1667</v>
      </c>
      <c r="D101" t="s">
        <v>67</v>
      </c>
      <c r="E101" t="s">
        <v>1668</v>
      </c>
      <c r="F101" t="s">
        <v>18</v>
      </c>
      <c r="G101" t="s">
        <v>111</v>
      </c>
      <c r="H101">
        <v>0</v>
      </c>
      <c r="I101">
        <v>0</v>
      </c>
      <c r="J101">
        <v>950</v>
      </c>
      <c r="K101">
        <v>0</v>
      </c>
      <c r="L101">
        <v>0</v>
      </c>
      <c r="M101">
        <v>0</v>
      </c>
      <c r="N101" t="s">
        <v>610</v>
      </c>
      <c r="O101" t="s">
        <v>21</v>
      </c>
    </row>
    <row r="102" spans="1:15" x14ac:dyDescent="0.3">
      <c r="A102" t="str">
        <f t="shared" si="1"/>
        <v>ETHW000508-R000-NI</v>
      </c>
      <c r="B102" t="s">
        <v>14</v>
      </c>
      <c r="C102" t="s">
        <v>1667</v>
      </c>
      <c r="D102" t="s">
        <v>67</v>
      </c>
      <c r="E102" t="s">
        <v>1668</v>
      </c>
      <c r="F102" t="s">
        <v>18</v>
      </c>
      <c r="G102" t="s">
        <v>68</v>
      </c>
      <c r="H102">
        <v>0</v>
      </c>
      <c r="I102">
        <v>600</v>
      </c>
      <c r="J102">
        <v>930</v>
      </c>
      <c r="K102">
        <v>558000</v>
      </c>
      <c r="L102">
        <v>0</v>
      </c>
      <c r="M102">
        <v>558000</v>
      </c>
      <c r="N102" t="s">
        <v>610</v>
      </c>
      <c r="O102" t="s">
        <v>21</v>
      </c>
    </row>
    <row r="103" spans="1:15" x14ac:dyDescent="0.3">
      <c r="A103" t="str">
        <f t="shared" si="1"/>
        <v>ETHW000508-R000-NI</v>
      </c>
      <c r="B103" t="s">
        <v>14</v>
      </c>
      <c r="C103" t="s">
        <v>1667</v>
      </c>
      <c r="D103" t="s">
        <v>67</v>
      </c>
      <c r="E103" t="s">
        <v>1668</v>
      </c>
      <c r="F103" t="s">
        <v>18</v>
      </c>
      <c r="G103" t="s">
        <v>23</v>
      </c>
      <c r="H103">
        <v>0</v>
      </c>
      <c r="I103">
        <v>600</v>
      </c>
      <c r="J103">
        <v>930</v>
      </c>
      <c r="K103">
        <v>558000</v>
      </c>
      <c r="L103">
        <v>0</v>
      </c>
      <c r="M103">
        <v>558000</v>
      </c>
      <c r="N103" t="s">
        <v>610</v>
      </c>
      <c r="O103" t="s">
        <v>21</v>
      </c>
    </row>
    <row r="104" spans="1:15" x14ac:dyDescent="0.3">
      <c r="A104" t="str">
        <f t="shared" si="1"/>
        <v>ETHW000508-R000-NI</v>
      </c>
      <c r="B104" t="s">
        <v>14</v>
      </c>
      <c r="C104" t="s">
        <v>1667</v>
      </c>
      <c r="D104" t="s">
        <v>67</v>
      </c>
      <c r="E104" t="s">
        <v>1668</v>
      </c>
      <c r="F104" t="s">
        <v>18</v>
      </c>
      <c r="G104" t="s">
        <v>210</v>
      </c>
      <c r="H104">
        <v>0</v>
      </c>
      <c r="I104">
        <v>100</v>
      </c>
      <c r="J104">
        <v>930</v>
      </c>
      <c r="K104">
        <v>93000</v>
      </c>
      <c r="L104">
        <v>0</v>
      </c>
      <c r="M104">
        <v>93000</v>
      </c>
      <c r="N104" t="s">
        <v>610</v>
      </c>
      <c r="O104" t="s">
        <v>21</v>
      </c>
    </row>
    <row r="105" spans="1:15" x14ac:dyDescent="0.3">
      <c r="A105" t="str">
        <f t="shared" si="1"/>
        <v>ETHW000508-R000-NI</v>
      </c>
      <c r="B105" t="s">
        <v>14</v>
      </c>
      <c r="C105" t="s">
        <v>1667</v>
      </c>
      <c r="D105" t="s">
        <v>67</v>
      </c>
      <c r="E105" t="s">
        <v>1668</v>
      </c>
      <c r="F105" t="s">
        <v>18</v>
      </c>
      <c r="G105" t="s">
        <v>22</v>
      </c>
      <c r="H105">
        <v>0</v>
      </c>
      <c r="I105">
        <v>2</v>
      </c>
      <c r="J105">
        <v>930</v>
      </c>
      <c r="K105">
        <v>1860</v>
      </c>
      <c r="L105">
        <v>0</v>
      </c>
      <c r="M105">
        <v>1860</v>
      </c>
      <c r="N105" t="s">
        <v>610</v>
      </c>
      <c r="O105" t="s">
        <v>21</v>
      </c>
    </row>
    <row r="106" spans="1:15" x14ac:dyDescent="0.3">
      <c r="A106" t="str">
        <f t="shared" si="1"/>
        <v>ETHW000508-R000-NI</v>
      </c>
      <c r="B106" t="s">
        <v>14</v>
      </c>
      <c r="C106" t="s">
        <v>1667</v>
      </c>
      <c r="D106" t="s">
        <v>67</v>
      </c>
      <c r="E106" t="s">
        <v>1668</v>
      </c>
      <c r="F106" t="s">
        <v>18</v>
      </c>
      <c r="G106" t="s">
        <v>29</v>
      </c>
      <c r="H106">
        <v>0</v>
      </c>
      <c r="I106">
        <v>3</v>
      </c>
      <c r="J106">
        <v>930</v>
      </c>
      <c r="K106">
        <v>2790</v>
      </c>
      <c r="L106">
        <v>0</v>
      </c>
      <c r="M106">
        <v>2790</v>
      </c>
      <c r="N106" t="s">
        <v>610</v>
      </c>
      <c r="O106" t="s">
        <v>21</v>
      </c>
    </row>
    <row r="107" spans="1:15" x14ac:dyDescent="0.3">
      <c r="A107" t="str">
        <f t="shared" si="1"/>
        <v>ETHW000508-R000-NI</v>
      </c>
      <c r="B107" t="s">
        <v>14</v>
      </c>
      <c r="C107" t="s">
        <v>1667</v>
      </c>
      <c r="D107" t="s">
        <v>67</v>
      </c>
      <c r="E107" t="s">
        <v>1668</v>
      </c>
      <c r="F107" t="s">
        <v>18</v>
      </c>
      <c r="G107" t="s">
        <v>111</v>
      </c>
      <c r="H107">
        <v>0</v>
      </c>
      <c r="I107">
        <v>900</v>
      </c>
      <c r="J107">
        <v>930</v>
      </c>
      <c r="K107">
        <v>837000</v>
      </c>
      <c r="L107">
        <v>0</v>
      </c>
      <c r="M107">
        <v>837000</v>
      </c>
      <c r="N107" t="s">
        <v>610</v>
      </c>
      <c r="O107" t="s">
        <v>21</v>
      </c>
    </row>
    <row r="108" spans="1:15" x14ac:dyDescent="0.3">
      <c r="A108" t="str">
        <f t="shared" si="1"/>
        <v>ETHW000508-R000-NI</v>
      </c>
      <c r="B108" t="s">
        <v>14</v>
      </c>
      <c r="C108" t="s">
        <v>1667</v>
      </c>
      <c r="D108" t="s">
        <v>67</v>
      </c>
      <c r="E108" t="s">
        <v>1668</v>
      </c>
      <c r="F108" t="s">
        <v>18</v>
      </c>
      <c r="G108" t="s">
        <v>35</v>
      </c>
      <c r="H108">
        <v>0</v>
      </c>
      <c r="I108">
        <v>3600</v>
      </c>
      <c r="J108">
        <v>930</v>
      </c>
      <c r="K108">
        <v>3348000</v>
      </c>
      <c r="L108">
        <v>0</v>
      </c>
      <c r="M108">
        <v>3348000</v>
      </c>
      <c r="N108" t="s">
        <v>610</v>
      </c>
      <c r="O108" t="s">
        <v>21</v>
      </c>
    </row>
    <row r="109" spans="1:15" x14ac:dyDescent="0.3">
      <c r="A109" t="str">
        <f t="shared" si="1"/>
        <v>ETHW000510-R000-CR</v>
      </c>
      <c r="B109" t="s">
        <v>14</v>
      </c>
      <c r="C109" t="s">
        <v>1669</v>
      </c>
      <c r="D109" t="s">
        <v>81</v>
      </c>
      <c r="E109" t="s">
        <v>1670</v>
      </c>
      <c r="F109" t="s">
        <v>18</v>
      </c>
      <c r="G109" t="s">
        <v>35</v>
      </c>
      <c r="H109">
        <v>0</v>
      </c>
      <c r="I109">
        <v>2700</v>
      </c>
      <c r="J109">
        <v>1390</v>
      </c>
      <c r="K109">
        <v>3753000</v>
      </c>
      <c r="L109">
        <v>0</v>
      </c>
      <c r="M109">
        <v>3753000</v>
      </c>
      <c r="N109" t="s">
        <v>613</v>
      </c>
      <c r="O109" t="s">
        <v>21</v>
      </c>
    </row>
    <row r="110" spans="1:15" x14ac:dyDescent="0.3">
      <c r="A110" t="str">
        <f t="shared" si="1"/>
        <v>ETHW000514-R000-XX</v>
      </c>
      <c r="B110" t="s">
        <v>14</v>
      </c>
      <c r="C110" t="s">
        <v>1671</v>
      </c>
      <c r="D110" t="s">
        <v>16</v>
      </c>
      <c r="E110" t="s">
        <v>1672</v>
      </c>
      <c r="F110" t="s">
        <v>18</v>
      </c>
      <c r="G110" t="s">
        <v>49</v>
      </c>
      <c r="H110">
        <v>0</v>
      </c>
      <c r="I110">
        <v>18693</v>
      </c>
      <c r="J110">
        <v>670</v>
      </c>
      <c r="K110">
        <v>12524310</v>
      </c>
      <c r="L110">
        <v>0</v>
      </c>
      <c r="M110">
        <v>12524310</v>
      </c>
      <c r="N110" t="s">
        <v>618</v>
      </c>
      <c r="O110" t="s">
        <v>21</v>
      </c>
    </row>
    <row r="111" spans="1:15" x14ac:dyDescent="0.3">
      <c r="A111" t="str">
        <f t="shared" si="1"/>
        <v>ETHW000514-R000-XX</v>
      </c>
      <c r="B111" t="s">
        <v>14</v>
      </c>
      <c r="C111" t="s">
        <v>1671</v>
      </c>
      <c r="D111" t="s">
        <v>16</v>
      </c>
      <c r="E111" t="s">
        <v>1672</v>
      </c>
      <c r="F111" t="s">
        <v>18</v>
      </c>
      <c r="G111" t="s">
        <v>35</v>
      </c>
      <c r="H111">
        <v>0</v>
      </c>
      <c r="I111">
        <v>7200</v>
      </c>
      <c r="J111">
        <v>670</v>
      </c>
      <c r="K111">
        <v>4824000</v>
      </c>
      <c r="L111">
        <v>0</v>
      </c>
      <c r="M111">
        <v>4824000</v>
      </c>
      <c r="N111" t="s">
        <v>618</v>
      </c>
      <c r="O111" t="s">
        <v>21</v>
      </c>
    </row>
    <row r="112" spans="1:15" x14ac:dyDescent="0.3">
      <c r="A112" t="str">
        <f t="shared" si="1"/>
        <v>ETHW000514-R000-XX</v>
      </c>
      <c r="B112" t="s">
        <v>14</v>
      </c>
      <c r="C112" t="s">
        <v>1671</v>
      </c>
      <c r="D112" t="s">
        <v>16</v>
      </c>
      <c r="E112" t="s">
        <v>1672</v>
      </c>
      <c r="F112" t="s">
        <v>18</v>
      </c>
      <c r="G112" t="s">
        <v>23</v>
      </c>
      <c r="H112">
        <v>0</v>
      </c>
      <c r="I112">
        <v>900</v>
      </c>
      <c r="J112">
        <v>670</v>
      </c>
      <c r="K112">
        <v>603000</v>
      </c>
      <c r="L112">
        <v>0</v>
      </c>
      <c r="M112">
        <v>603000</v>
      </c>
      <c r="N112" t="s">
        <v>618</v>
      </c>
      <c r="O112" t="s">
        <v>21</v>
      </c>
    </row>
    <row r="113" spans="1:15" x14ac:dyDescent="0.3">
      <c r="A113" t="str">
        <f t="shared" si="1"/>
        <v>ETHW000514-R000-XX</v>
      </c>
      <c r="B113" t="s">
        <v>14</v>
      </c>
      <c r="C113" t="s">
        <v>1671</v>
      </c>
      <c r="D113" t="s">
        <v>16</v>
      </c>
      <c r="E113" t="s">
        <v>1672</v>
      </c>
      <c r="F113" t="s">
        <v>18</v>
      </c>
      <c r="G113" t="s">
        <v>19</v>
      </c>
      <c r="H113">
        <v>0</v>
      </c>
      <c r="I113">
        <v>1500</v>
      </c>
      <c r="J113">
        <v>670</v>
      </c>
      <c r="K113">
        <v>1005000</v>
      </c>
      <c r="L113">
        <v>0</v>
      </c>
      <c r="M113">
        <v>1005000</v>
      </c>
      <c r="N113" t="s">
        <v>618</v>
      </c>
      <c r="O113" t="s">
        <v>21</v>
      </c>
    </row>
    <row r="114" spans="1:15" x14ac:dyDescent="0.3">
      <c r="A114" t="str">
        <f t="shared" si="1"/>
        <v>ETHW000514-R000-XX</v>
      </c>
      <c r="B114" t="s">
        <v>14</v>
      </c>
      <c r="C114" t="s">
        <v>1671</v>
      </c>
      <c r="D114" t="s">
        <v>16</v>
      </c>
      <c r="E114" t="s">
        <v>1672</v>
      </c>
      <c r="F114" t="s">
        <v>18</v>
      </c>
      <c r="G114" t="s">
        <v>111</v>
      </c>
      <c r="H114">
        <v>0</v>
      </c>
      <c r="I114">
        <v>300</v>
      </c>
      <c r="J114">
        <v>670</v>
      </c>
      <c r="K114">
        <v>201000</v>
      </c>
      <c r="L114">
        <v>0</v>
      </c>
      <c r="M114">
        <v>201000</v>
      </c>
      <c r="N114" t="s">
        <v>618</v>
      </c>
      <c r="O114" t="s">
        <v>21</v>
      </c>
    </row>
    <row r="115" spans="1:15" x14ac:dyDescent="0.3">
      <c r="A115" t="str">
        <f t="shared" si="1"/>
        <v>ETHW000514-R000-XX</v>
      </c>
      <c r="B115" t="s">
        <v>14</v>
      </c>
      <c r="C115" t="s">
        <v>1671</v>
      </c>
      <c r="D115" t="s">
        <v>16</v>
      </c>
      <c r="E115" t="s">
        <v>1672</v>
      </c>
      <c r="F115" t="s">
        <v>18</v>
      </c>
      <c r="G115" t="s">
        <v>174</v>
      </c>
      <c r="H115">
        <v>0</v>
      </c>
      <c r="I115">
        <v>4800</v>
      </c>
      <c r="J115">
        <v>670</v>
      </c>
      <c r="K115">
        <v>3216000</v>
      </c>
      <c r="L115">
        <v>0</v>
      </c>
      <c r="M115">
        <v>3216000</v>
      </c>
      <c r="N115" t="s">
        <v>618</v>
      </c>
      <c r="O115" t="s">
        <v>21</v>
      </c>
    </row>
    <row r="116" spans="1:15" x14ac:dyDescent="0.3">
      <c r="A116" t="str">
        <f t="shared" si="1"/>
        <v>ETHW000514-R000-XX</v>
      </c>
      <c r="B116" t="s">
        <v>14</v>
      </c>
      <c r="C116" t="s">
        <v>1671</v>
      </c>
      <c r="D116" t="s">
        <v>16</v>
      </c>
      <c r="E116" t="s">
        <v>1672</v>
      </c>
      <c r="F116" t="s">
        <v>18</v>
      </c>
      <c r="G116" t="s">
        <v>246</v>
      </c>
      <c r="H116">
        <v>0</v>
      </c>
      <c r="I116">
        <v>2400</v>
      </c>
      <c r="J116">
        <v>670</v>
      </c>
      <c r="K116">
        <v>1608000</v>
      </c>
      <c r="L116">
        <v>0</v>
      </c>
      <c r="M116">
        <v>1608000</v>
      </c>
      <c r="N116" t="s">
        <v>618</v>
      </c>
      <c r="O116" t="s">
        <v>21</v>
      </c>
    </row>
    <row r="117" spans="1:15" x14ac:dyDescent="0.3">
      <c r="A117" t="str">
        <f t="shared" si="1"/>
        <v>ETHW000514-R000-XX</v>
      </c>
      <c r="B117" t="s">
        <v>14</v>
      </c>
      <c r="C117" t="s">
        <v>1671</v>
      </c>
      <c r="D117" t="s">
        <v>16</v>
      </c>
      <c r="E117" t="s">
        <v>1672</v>
      </c>
      <c r="F117" t="s">
        <v>18</v>
      </c>
      <c r="G117" t="s">
        <v>210</v>
      </c>
      <c r="H117">
        <v>0</v>
      </c>
      <c r="I117">
        <v>100</v>
      </c>
      <c r="J117">
        <v>670</v>
      </c>
      <c r="K117">
        <v>67000</v>
      </c>
      <c r="L117">
        <v>0</v>
      </c>
      <c r="M117">
        <v>67000</v>
      </c>
      <c r="N117" t="s">
        <v>618</v>
      </c>
      <c r="O117" t="s">
        <v>21</v>
      </c>
    </row>
    <row r="118" spans="1:15" x14ac:dyDescent="0.3">
      <c r="A118" t="str">
        <f t="shared" si="1"/>
        <v>ETHW000514-R000-XX</v>
      </c>
      <c r="B118" t="s">
        <v>14</v>
      </c>
      <c r="C118" t="s">
        <v>1671</v>
      </c>
      <c r="D118" t="s">
        <v>16</v>
      </c>
      <c r="E118" t="s">
        <v>1672</v>
      </c>
      <c r="F118" t="s">
        <v>18</v>
      </c>
      <c r="G118" t="s">
        <v>663</v>
      </c>
      <c r="H118">
        <v>0</v>
      </c>
      <c r="I118">
        <v>300</v>
      </c>
      <c r="J118">
        <v>520</v>
      </c>
      <c r="K118">
        <v>156000</v>
      </c>
      <c r="L118">
        <v>0</v>
      </c>
      <c r="M118">
        <v>156000</v>
      </c>
      <c r="N118" t="s">
        <v>618</v>
      </c>
      <c r="O118" t="s">
        <v>21</v>
      </c>
    </row>
    <row r="119" spans="1:15" x14ac:dyDescent="0.3">
      <c r="A119" t="str">
        <f t="shared" si="1"/>
        <v>ETHW000516-R000-CR</v>
      </c>
      <c r="B119" t="s">
        <v>14</v>
      </c>
      <c r="C119" t="s">
        <v>139</v>
      </c>
      <c r="D119" t="s">
        <v>81</v>
      </c>
      <c r="E119" t="s">
        <v>140</v>
      </c>
      <c r="F119" t="s">
        <v>18</v>
      </c>
      <c r="G119" t="s">
        <v>49</v>
      </c>
      <c r="H119">
        <v>0</v>
      </c>
      <c r="I119">
        <v>2400</v>
      </c>
      <c r="J119">
        <v>2130</v>
      </c>
      <c r="K119">
        <v>5112000</v>
      </c>
      <c r="L119">
        <v>0</v>
      </c>
      <c r="M119">
        <v>5112000</v>
      </c>
      <c r="N119" t="s">
        <v>141</v>
      </c>
      <c r="O119" t="s">
        <v>21</v>
      </c>
    </row>
    <row r="120" spans="1:15" x14ac:dyDescent="0.3">
      <c r="A120" t="str">
        <f t="shared" si="1"/>
        <v>ETHW000517-R000-NI</v>
      </c>
      <c r="B120" t="s">
        <v>14</v>
      </c>
      <c r="C120" t="s">
        <v>142</v>
      </c>
      <c r="D120" t="s">
        <v>67</v>
      </c>
      <c r="E120" t="s">
        <v>143</v>
      </c>
      <c r="F120" t="s">
        <v>18</v>
      </c>
      <c r="G120" t="s">
        <v>49</v>
      </c>
      <c r="H120">
        <v>0</v>
      </c>
      <c r="I120">
        <v>100</v>
      </c>
      <c r="J120">
        <v>2340</v>
      </c>
      <c r="K120">
        <v>234000</v>
      </c>
      <c r="L120">
        <v>0</v>
      </c>
      <c r="M120">
        <v>234000</v>
      </c>
      <c r="N120" t="s">
        <v>144</v>
      </c>
      <c r="O120" t="s">
        <v>21</v>
      </c>
    </row>
    <row r="121" spans="1:15" x14ac:dyDescent="0.3">
      <c r="A121" t="str">
        <f t="shared" si="1"/>
        <v>ETHW000523-R000-WH</v>
      </c>
      <c r="B121" t="s">
        <v>14</v>
      </c>
      <c r="C121" t="s">
        <v>145</v>
      </c>
      <c r="D121" t="s">
        <v>65</v>
      </c>
      <c r="E121" t="s">
        <v>146</v>
      </c>
      <c r="F121" t="s">
        <v>18</v>
      </c>
      <c r="G121" t="s">
        <v>22</v>
      </c>
      <c r="H121">
        <v>0</v>
      </c>
      <c r="I121">
        <v>12</v>
      </c>
      <c r="J121">
        <v>6000</v>
      </c>
      <c r="K121">
        <v>72000</v>
      </c>
      <c r="L121">
        <v>0</v>
      </c>
      <c r="M121">
        <v>72000</v>
      </c>
      <c r="N121" t="s">
        <v>147</v>
      </c>
      <c r="O121" t="s">
        <v>21</v>
      </c>
    </row>
    <row r="122" spans="1:15" x14ac:dyDescent="0.3">
      <c r="A122" t="str">
        <f t="shared" si="1"/>
        <v>ETHW000533-R000-XX</v>
      </c>
      <c r="B122" t="s">
        <v>14</v>
      </c>
      <c r="C122" t="s">
        <v>148</v>
      </c>
      <c r="D122" t="s">
        <v>16</v>
      </c>
      <c r="E122" t="s">
        <v>149</v>
      </c>
      <c r="F122" t="s">
        <v>18</v>
      </c>
      <c r="G122" t="s">
        <v>22</v>
      </c>
      <c r="H122">
        <v>0</v>
      </c>
      <c r="I122">
        <v>3</v>
      </c>
      <c r="J122">
        <v>3230</v>
      </c>
      <c r="K122">
        <v>9690</v>
      </c>
      <c r="L122">
        <v>0</v>
      </c>
      <c r="M122">
        <v>9690</v>
      </c>
      <c r="N122" t="s">
        <v>150</v>
      </c>
      <c r="O122" t="s">
        <v>21</v>
      </c>
    </row>
    <row r="123" spans="1:15" x14ac:dyDescent="0.3">
      <c r="A123" t="str">
        <f t="shared" si="1"/>
        <v>ETHW000534-R000-XX</v>
      </c>
      <c r="B123" t="s">
        <v>14</v>
      </c>
      <c r="C123" t="s">
        <v>151</v>
      </c>
      <c r="D123" t="s">
        <v>16</v>
      </c>
      <c r="E123" t="s">
        <v>152</v>
      </c>
      <c r="F123" t="s">
        <v>18</v>
      </c>
      <c r="G123" t="s">
        <v>22</v>
      </c>
      <c r="H123">
        <v>0</v>
      </c>
      <c r="I123">
        <v>3</v>
      </c>
      <c r="J123">
        <v>3230</v>
      </c>
      <c r="K123">
        <v>9690</v>
      </c>
      <c r="L123">
        <v>0</v>
      </c>
      <c r="M123">
        <v>9690</v>
      </c>
      <c r="N123" t="s">
        <v>153</v>
      </c>
      <c r="O123" t="s">
        <v>21</v>
      </c>
    </row>
    <row r="124" spans="1:15" x14ac:dyDescent="0.3">
      <c r="A124" t="str">
        <f t="shared" si="1"/>
        <v>ETHW000539-R000-XX</v>
      </c>
      <c r="B124" t="s">
        <v>14</v>
      </c>
      <c r="C124" t="s">
        <v>154</v>
      </c>
      <c r="D124" t="s">
        <v>16</v>
      </c>
      <c r="E124" t="s">
        <v>155</v>
      </c>
      <c r="F124" t="s">
        <v>18</v>
      </c>
      <c r="G124" t="s">
        <v>111</v>
      </c>
      <c r="H124">
        <v>0</v>
      </c>
      <c r="I124">
        <v>0</v>
      </c>
      <c r="J124">
        <v>3810</v>
      </c>
      <c r="K124">
        <v>0</v>
      </c>
      <c r="L124">
        <v>0</v>
      </c>
      <c r="M124">
        <v>0</v>
      </c>
      <c r="N124" t="s">
        <v>156</v>
      </c>
      <c r="O124" t="s">
        <v>21</v>
      </c>
    </row>
    <row r="125" spans="1:15" x14ac:dyDescent="0.3">
      <c r="A125" t="str">
        <f t="shared" si="1"/>
        <v>ETHW000539-R000-XX</v>
      </c>
      <c r="B125" t="s">
        <v>14</v>
      </c>
      <c r="C125" t="s">
        <v>154</v>
      </c>
      <c r="D125" t="s">
        <v>16</v>
      </c>
      <c r="E125" t="s">
        <v>155</v>
      </c>
      <c r="F125" t="s">
        <v>18</v>
      </c>
      <c r="G125" t="s">
        <v>35</v>
      </c>
      <c r="H125">
        <v>0</v>
      </c>
      <c r="I125">
        <v>0</v>
      </c>
      <c r="J125">
        <v>3810</v>
      </c>
      <c r="K125">
        <v>0</v>
      </c>
      <c r="L125">
        <v>0</v>
      </c>
      <c r="M125">
        <v>0</v>
      </c>
      <c r="N125" t="s">
        <v>156</v>
      </c>
      <c r="O125" t="s">
        <v>21</v>
      </c>
    </row>
    <row r="126" spans="1:15" x14ac:dyDescent="0.3">
      <c r="A126" t="str">
        <f t="shared" si="1"/>
        <v>ETHW000539-R000-XX</v>
      </c>
      <c r="B126" t="s">
        <v>14</v>
      </c>
      <c r="C126" t="s">
        <v>154</v>
      </c>
      <c r="D126" t="s">
        <v>16</v>
      </c>
      <c r="E126" t="s">
        <v>155</v>
      </c>
      <c r="F126" t="s">
        <v>18</v>
      </c>
      <c r="G126" t="s">
        <v>19</v>
      </c>
      <c r="H126">
        <v>0</v>
      </c>
      <c r="I126">
        <v>4500</v>
      </c>
      <c r="J126">
        <v>3730</v>
      </c>
      <c r="K126">
        <v>16785000</v>
      </c>
      <c r="L126">
        <v>0</v>
      </c>
      <c r="M126">
        <v>16785000</v>
      </c>
      <c r="N126" t="s">
        <v>156</v>
      </c>
      <c r="O126" t="s">
        <v>21</v>
      </c>
    </row>
    <row r="127" spans="1:15" x14ac:dyDescent="0.3">
      <c r="A127" t="str">
        <f t="shared" si="1"/>
        <v>ETHW000539-R000-XX</v>
      </c>
      <c r="B127" t="s">
        <v>14</v>
      </c>
      <c r="C127" t="s">
        <v>154</v>
      </c>
      <c r="D127" t="s">
        <v>16</v>
      </c>
      <c r="E127" t="s">
        <v>155</v>
      </c>
      <c r="F127" t="s">
        <v>18</v>
      </c>
      <c r="G127" t="s">
        <v>210</v>
      </c>
      <c r="H127">
        <v>0</v>
      </c>
      <c r="I127">
        <v>90</v>
      </c>
      <c r="J127">
        <v>3730</v>
      </c>
      <c r="K127">
        <v>335700</v>
      </c>
      <c r="L127">
        <v>0</v>
      </c>
      <c r="M127">
        <v>335700</v>
      </c>
      <c r="N127" t="s">
        <v>156</v>
      </c>
      <c r="O127" t="s">
        <v>21</v>
      </c>
    </row>
    <row r="128" spans="1:15" x14ac:dyDescent="0.3">
      <c r="A128" t="str">
        <f t="shared" si="1"/>
        <v>ETHW000539-R000-XX</v>
      </c>
      <c r="B128" t="s">
        <v>14</v>
      </c>
      <c r="C128" t="s">
        <v>154</v>
      </c>
      <c r="D128" t="s">
        <v>16</v>
      </c>
      <c r="E128" t="s">
        <v>155</v>
      </c>
      <c r="F128" t="s">
        <v>18</v>
      </c>
      <c r="G128" t="s">
        <v>49</v>
      </c>
      <c r="H128">
        <v>0</v>
      </c>
      <c r="I128">
        <v>1740</v>
      </c>
      <c r="J128">
        <v>3730</v>
      </c>
      <c r="K128">
        <v>6490200</v>
      </c>
      <c r="L128">
        <v>0</v>
      </c>
      <c r="M128">
        <v>6490200</v>
      </c>
      <c r="N128" t="s">
        <v>156</v>
      </c>
      <c r="O128" t="s">
        <v>21</v>
      </c>
    </row>
    <row r="129" spans="1:15" x14ac:dyDescent="0.3">
      <c r="A129" t="str">
        <f t="shared" si="1"/>
        <v>ETHW000539-R000-XX</v>
      </c>
      <c r="B129" t="s">
        <v>14</v>
      </c>
      <c r="C129" t="s">
        <v>154</v>
      </c>
      <c r="D129" t="s">
        <v>16</v>
      </c>
      <c r="E129" t="s">
        <v>155</v>
      </c>
      <c r="F129" t="s">
        <v>18</v>
      </c>
      <c r="G129" t="s">
        <v>49</v>
      </c>
      <c r="H129">
        <v>0</v>
      </c>
      <c r="I129">
        <v>0</v>
      </c>
      <c r="J129">
        <v>3810</v>
      </c>
      <c r="K129">
        <v>0</v>
      </c>
      <c r="L129">
        <v>0</v>
      </c>
      <c r="M129">
        <v>0</v>
      </c>
      <c r="N129" t="s">
        <v>156</v>
      </c>
      <c r="O129" t="s">
        <v>21</v>
      </c>
    </row>
    <row r="130" spans="1:15" x14ac:dyDescent="0.3">
      <c r="A130" t="str">
        <f t="shared" si="1"/>
        <v>ETHW000539-R000-XX</v>
      </c>
      <c r="B130" t="s">
        <v>14</v>
      </c>
      <c r="C130" t="s">
        <v>154</v>
      </c>
      <c r="D130" t="s">
        <v>16</v>
      </c>
      <c r="E130" t="s">
        <v>155</v>
      </c>
      <c r="F130" t="s">
        <v>18</v>
      </c>
      <c r="G130" t="s">
        <v>35</v>
      </c>
      <c r="H130">
        <v>0</v>
      </c>
      <c r="I130">
        <v>2081</v>
      </c>
      <c r="J130">
        <v>3730</v>
      </c>
      <c r="K130">
        <v>7762130</v>
      </c>
      <c r="L130">
        <v>0</v>
      </c>
      <c r="M130">
        <v>7762130</v>
      </c>
      <c r="N130" t="s">
        <v>156</v>
      </c>
      <c r="O130" t="s">
        <v>21</v>
      </c>
    </row>
    <row r="131" spans="1:15" x14ac:dyDescent="0.3">
      <c r="A131" t="str">
        <f t="shared" ref="A131:A194" si="2">C131&amp;"-"&amp;D131</f>
        <v>ETHW000539-R000-XX</v>
      </c>
      <c r="B131" t="s">
        <v>14</v>
      </c>
      <c r="C131" t="s">
        <v>154</v>
      </c>
      <c r="D131" t="s">
        <v>16</v>
      </c>
      <c r="E131" t="s">
        <v>155</v>
      </c>
      <c r="F131" t="s">
        <v>18</v>
      </c>
      <c r="G131" t="s">
        <v>111</v>
      </c>
      <c r="H131">
        <v>0</v>
      </c>
      <c r="I131">
        <v>4560</v>
      </c>
      <c r="J131">
        <v>3730</v>
      </c>
      <c r="K131">
        <v>17008800</v>
      </c>
      <c r="L131">
        <v>0</v>
      </c>
      <c r="M131">
        <v>17008800</v>
      </c>
      <c r="N131" t="s">
        <v>156</v>
      </c>
      <c r="O131" t="s">
        <v>21</v>
      </c>
    </row>
    <row r="132" spans="1:15" x14ac:dyDescent="0.3">
      <c r="A132" t="str">
        <f t="shared" si="2"/>
        <v>ETHW000540-R000-XX</v>
      </c>
      <c r="B132" t="s">
        <v>14</v>
      </c>
      <c r="C132" t="s">
        <v>157</v>
      </c>
      <c r="D132" t="s">
        <v>16</v>
      </c>
      <c r="E132" t="s">
        <v>158</v>
      </c>
      <c r="F132" t="s">
        <v>18</v>
      </c>
      <c r="G132" t="s">
        <v>49</v>
      </c>
      <c r="H132">
        <v>0</v>
      </c>
      <c r="I132">
        <v>0</v>
      </c>
      <c r="J132">
        <v>3810</v>
      </c>
      <c r="K132">
        <v>0</v>
      </c>
      <c r="L132">
        <v>0</v>
      </c>
      <c r="M132">
        <v>0</v>
      </c>
      <c r="N132" t="s">
        <v>159</v>
      </c>
      <c r="O132" t="s">
        <v>21</v>
      </c>
    </row>
    <row r="133" spans="1:15" x14ac:dyDescent="0.3">
      <c r="A133" t="str">
        <f t="shared" si="2"/>
        <v>ETHW000540-R000-XX</v>
      </c>
      <c r="B133" t="s">
        <v>14</v>
      </c>
      <c r="C133" t="s">
        <v>157</v>
      </c>
      <c r="D133" t="s">
        <v>16</v>
      </c>
      <c r="E133" t="s">
        <v>158</v>
      </c>
      <c r="F133" t="s">
        <v>18</v>
      </c>
      <c r="G133" t="s">
        <v>49</v>
      </c>
      <c r="H133">
        <v>0</v>
      </c>
      <c r="I133">
        <v>1740</v>
      </c>
      <c r="J133">
        <v>3730</v>
      </c>
      <c r="K133">
        <v>6490200</v>
      </c>
      <c r="L133">
        <v>0</v>
      </c>
      <c r="M133">
        <v>6490200</v>
      </c>
      <c r="N133" t="s">
        <v>159</v>
      </c>
      <c r="O133" t="s">
        <v>21</v>
      </c>
    </row>
    <row r="134" spans="1:15" x14ac:dyDescent="0.3">
      <c r="A134" t="str">
        <f t="shared" si="2"/>
        <v>ETHW000540-R000-XX</v>
      </c>
      <c r="B134" t="s">
        <v>14</v>
      </c>
      <c r="C134" t="s">
        <v>157</v>
      </c>
      <c r="D134" t="s">
        <v>16</v>
      </c>
      <c r="E134" t="s">
        <v>158</v>
      </c>
      <c r="F134" t="s">
        <v>18</v>
      </c>
      <c r="G134" t="s">
        <v>22</v>
      </c>
      <c r="H134">
        <v>0</v>
      </c>
      <c r="I134">
        <v>33</v>
      </c>
      <c r="J134">
        <v>3730</v>
      </c>
      <c r="K134">
        <v>123090</v>
      </c>
      <c r="L134">
        <v>0</v>
      </c>
      <c r="M134">
        <v>123090</v>
      </c>
      <c r="N134" t="s">
        <v>159</v>
      </c>
      <c r="O134" t="s">
        <v>21</v>
      </c>
    </row>
    <row r="135" spans="1:15" x14ac:dyDescent="0.3">
      <c r="A135" t="str">
        <f t="shared" si="2"/>
        <v>ETHW000540-R000-XX</v>
      </c>
      <c r="B135" t="s">
        <v>14</v>
      </c>
      <c r="C135" t="s">
        <v>157</v>
      </c>
      <c r="D135" t="s">
        <v>16</v>
      </c>
      <c r="E135" t="s">
        <v>158</v>
      </c>
      <c r="F135" t="s">
        <v>18</v>
      </c>
      <c r="G135" t="s">
        <v>111</v>
      </c>
      <c r="H135">
        <v>0</v>
      </c>
      <c r="I135">
        <v>4560</v>
      </c>
      <c r="J135">
        <v>3730</v>
      </c>
      <c r="K135">
        <v>17008800</v>
      </c>
      <c r="L135">
        <v>0</v>
      </c>
      <c r="M135">
        <v>17008800</v>
      </c>
      <c r="N135" t="s">
        <v>159</v>
      </c>
      <c r="O135" t="s">
        <v>21</v>
      </c>
    </row>
    <row r="136" spans="1:15" x14ac:dyDescent="0.3">
      <c r="A136" t="str">
        <f t="shared" si="2"/>
        <v>ETHW000540-R000-XX</v>
      </c>
      <c r="B136" t="s">
        <v>14</v>
      </c>
      <c r="C136" t="s">
        <v>157</v>
      </c>
      <c r="D136" t="s">
        <v>16</v>
      </c>
      <c r="E136" t="s">
        <v>158</v>
      </c>
      <c r="F136" t="s">
        <v>18</v>
      </c>
      <c r="G136" t="s">
        <v>111</v>
      </c>
      <c r="H136">
        <v>0</v>
      </c>
      <c r="I136">
        <v>0</v>
      </c>
      <c r="J136">
        <v>3810</v>
      </c>
      <c r="K136">
        <v>0</v>
      </c>
      <c r="L136">
        <v>0</v>
      </c>
      <c r="M136">
        <v>0</v>
      </c>
      <c r="N136" t="s">
        <v>159</v>
      </c>
      <c r="O136" t="s">
        <v>21</v>
      </c>
    </row>
    <row r="137" spans="1:15" x14ac:dyDescent="0.3">
      <c r="A137" t="str">
        <f t="shared" si="2"/>
        <v>ETHW000540-R000-XX</v>
      </c>
      <c r="B137" t="s">
        <v>14</v>
      </c>
      <c r="C137" t="s">
        <v>157</v>
      </c>
      <c r="D137" t="s">
        <v>16</v>
      </c>
      <c r="E137" t="s">
        <v>158</v>
      </c>
      <c r="F137" t="s">
        <v>18</v>
      </c>
      <c r="G137" t="s">
        <v>35</v>
      </c>
      <c r="H137">
        <v>0</v>
      </c>
      <c r="I137">
        <v>0</v>
      </c>
      <c r="J137">
        <v>3810</v>
      </c>
      <c r="K137">
        <v>0</v>
      </c>
      <c r="L137">
        <v>0</v>
      </c>
      <c r="M137">
        <v>0</v>
      </c>
      <c r="N137" t="s">
        <v>159</v>
      </c>
      <c r="O137" t="s">
        <v>21</v>
      </c>
    </row>
    <row r="138" spans="1:15" x14ac:dyDescent="0.3">
      <c r="A138" t="str">
        <f t="shared" si="2"/>
        <v>ETHW000540-R000-XX</v>
      </c>
      <c r="B138" t="s">
        <v>14</v>
      </c>
      <c r="C138" t="s">
        <v>157</v>
      </c>
      <c r="D138" t="s">
        <v>16</v>
      </c>
      <c r="E138" t="s">
        <v>158</v>
      </c>
      <c r="F138" t="s">
        <v>18</v>
      </c>
      <c r="G138" t="s">
        <v>35</v>
      </c>
      <c r="H138">
        <v>0</v>
      </c>
      <c r="I138">
        <v>1975</v>
      </c>
      <c r="J138">
        <v>3730</v>
      </c>
      <c r="K138">
        <v>7366750</v>
      </c>
      <c r="L138">
        <v>0</v>
      </c>
      <c r="M138">
        <v>7366750</v>
      </c>
      <c r="N138" t="s">
        <v>159</v>
      </c>
      <c r="O138" t="s">
        <v>21</v>
      </c>
    </row>
    <row r="139" spans="1:15" x14ac:dyDescent="0.3">
      <c r="A139" t="str">
        <f t="shared" si="2"/>
        <v>ETHW000540-R000-XX</v>
      </c>
      <c r="B139" t="s">
        <v>14</v>
      </c>
      <c r="C139" t="s">
        <v>157</v>
      </c>
      <c r="D139" t="s">
        <v>16</v>
      </c>
      <c r="E139" t="s">
        <v>158</v>
      </c>
      <c r="F139" t="s">
        <v>18</v>
      </c>
      <c r="G139" t="s">
        <v>19</v>
      </c>
      <c r="H139">
        <v>0</v>
      </c>
      <c r="I139">
        <v>4500</v>
      </c>
      <c r="J139">
        <v>3730</v>
      </c>
      <c r="K139">
        <v>16785000</v>
      </c>
      <c r="L139">
        <v>0</v>
      </c>
      <c r="M139">
        <v>16785000</v>
      </c>
      <c r="N139" t="s">
        <v>159</v>
      </c>
      <c r="O139" t="s">
        <v>21</v>
      </c>
    </row>
    <row r="140" spans="1:15" x14ac:dyDescent="0.3">
      <c r="A140" t="str">
        <f t="shared" si="2"/>
        <v>ETHW000540-R000-XX</v>
      </c>
      <c r="B140" t="s">
        <v>14</v>
      </c>
      <c r="C140" t="s">
        <v>157</v>
      </c>
      <c r="D140" t="s">
        <v>16</v>
      </c>
      <c r="E140" t="s">
        <v>158</v>
      </c>
      <c r="F140" t="s">
        <v>18</v>
      </c>
      <c r="G140" t="s">
        <v>210</v>
      </c>
      <c r="H140">
        <v>0</v>
      </c>
      <c r="I140">
        <v>90</v>
      </c>
      <c r="J140">
        <v>3730</v>
      </c>
      <c r="K140">
        <v>335700</v>
      </c>
      <c r="L140">
        <v>0</v>
      </c>
      <c r="M140">
        <v>335700</v>
      </c>
      <c r="N140" t="s">
        <v>159</v>
      </c>
      <c r="O140" t="s">
        <v>21</v>
      </c>
    </row>
    <row r="141" spans="1:15" x14ac:dyDescent="0.3">
      <c r="A141" t="str">
        <f t="shared" si="2"/>
        <v>ETHW000541-R000-XX</v>
      </c>
      <c r="B141" t="s">
        <v>14</v>
      </c>
      <c r="C141" t="s">
        <v>1673</v>
      </c>
      <c r="D141" t="s">
        <v>16</v>
      </c>
      <c r="E141" t="s">
        <v>1674</v>
      </c>
      <c r="F141" t="s">
        <v>18</v>
      </c>
      <c r="G141" t="s">
        <v>210</v>
      </c>
      <c r="H141">
        <v>0</v>
      </c>
      <c r="I141">
        <v>90</v>
      </c>
      <c r="J141">
        <v>3510</v>
      </c>
      <c r="K141">
        <v>315900</v>
      </c>
      <c r="L141">
        <v>0</v>
      </c>
      <c r="M141">
        <v>315900</v>
      </c>
      <c r="N141" t="s">
        <v>639</v>
      </c>
      <c r="O141" t="s">
        <v>21</v>
      </c>
    </row>
    <row r="142" spans="1:15" x14ac:dyDescent="0.3">
      <c r="A142" t="str">
        <f t="shared" si="2"/>
        <v>ETHW000541-R000-XX</v>
      </c>
      <c r="B142" t="s">
        <v>14</v>
      </c>
      <c r="C142" t="s">
        <v>1673</v>
      </c>
      <c r="D142" t="s">
        <v>16</v>
      </c>
      <c r="E142" t="s">
        <v>1674</v>
      </c>
      <c r="F142" t="s">
        <v>18</v>
      </c>
      <c r="G142" t="s">
        <v>35</v>
      </c>
      <c r="H142">
        <v>0</v>
      </c>
      <c r="I142">
        <v>0</v>
      </c>
      <c r="J142">
        <v>3580</v>
      </c>
      <c r="K142">
        <v>0</v>
      </c>
      <c r="L142">
        <v>0</v>
      </c>
      <c r="M142">
        <v>0</v>
      </c>
      <c r="N142" t="s">
        <v>639</v>
      </c>
      <c r="O142" t="s">
        <v>21</v>
      </c>
    </row>
    <row r="143" spans="1:15" x14ac:dyDescent="0.3">
      <c r="A143" t="str">
        <f t="shared" si="2"/>
        <v>ETHW000541-R000-XX</v>
      </c>
      <c r="B143" t="s">
        <v>14</v>
      </c>
      <c r="C143" t="s">
        <v>1673</v>
      </c>
      <c r="D143" t="s">
        <v>16</v>
      </c>
      <c r="E143" t="s">
        <v>1674</v>
      </c>
      <c r="F143" t="s">
        <v>18</v>
      </c>
      <c r="G143" t="s">
        <v>174</v>
      </c>
      <c r="H143">
        <v>0</v>
      </c>
      <c r="I143">
        <v>960</v>
      </c>
      <c r="J143">
        <v>3510</v>
      </c>
      <c r="K143">
        <v>3369600</v>
      </c>
      <c r="L143">
        <v>0</v>
      </c>
      <c r="M143">
        <v>3369600</v>
      </c>
      <c r="N143" t="s">
        <v>639</v>
      </c>
      <c r="O143" t="s">
        <v>21</v>
      </c>
    </row>
    <row r="144" spans="1:15" x14ac:dyDescent="0.3">
      <c r="A144" t="str">
        <f t="shared" si="2"/>
        <v>ETHW000541-R000-XX</v>
      </c>
      <c r="B144" t="s">
        <v>14</v>
      </c>
      <c r="C144" t="s">
        <v>1673</v>
      </c>
      <c r="D144" t="s">
        <v>16</v>
      </c>
      <c r="E144" t="s">
        <v>1674</v>
      </c>
      <c r="F144" t="s">
        <v>18</v>
      </c>
      <c r="G144" t="s">
        <v>111</v>
      </c>
      <c r="H144">
        <v>0</v>
      </c>
      <c r="I144">
        <v>1170</v>
      </c>
      <c r="J144">
        <v>3510</v>
      </c>
      <c r="K144">
        <v>4106700</v>
      </c>
      <c r="L144">
        <v>0</v>
      </c>
      <c r="M144">
        <v>4106700</v>
      </c>
      <c r="N144" t="s">
        <v>639</v>
      </c>
      <c r="O144" t="s">
        <v>21</v>
      </c>
    </row>
    <row r="145" spans="1:15" x14ac:dyDescent="0.3">
      <c r="A145" t="str">
        <f t="shared" si="2"/>
        <v>ETHW000541-R000-XX</v>
      </c>
      <c r="B145" t="s">
        <v>14</v>
      </c>
      <c r="C145" t="s">
        <v>1673</v>
      </c>
      <c r="D145" t="s">
        <v>16</v>
      </c>
      <c r="E145" t="s">
        <v>1674</v>
      </c>
      <c r="F145" t="s">
        <v>18</v>
      </c>
      <c r="G145" t="s">
        <v>35</v>
      </c>
      <c r="H145">
        <v>0</v>
      </c>
      <c r="I145">
        <v>1461</v>
      </c>
      <c r="J145">
        <v>3510</v>
      </c>
      <c r="K145">
        <v>5128110</v>
      </c>
      <c r="L145">
        <v>0</v>
      </c>
      <c r="M145">
        <v>5128110</v>
      </c>
      <c r="N145" t="s">
        <v>639</v>
      </c>
      <c r="O145" t="s">
        <v>21</v>
      </c>
    </row>
    <row r="146" spans="1:15" x14ac:dyDescent="0.3">
      <c r="A146" t="str">
        <f t="shared" si="2"/>
        <v>ETHW000541-R000-XX</v>
      </c>
      <c r="B146" t="s">
        <v>14</v>
      </c>
      <c r="C146" t="s">
        <v>1673</v>
      </c>
      <c r="D146" t="s">
        <v>16</v>
      </c>
      <c r="E146" t="s">
        <v>1674</v>
      </c>
      <c r="F146" t="s">
        <v>18</v>
      </c>
      <c r="G146" t="s">
        <v>49</v>
      </c>
      <c r="H146">
        <v>0</v>
      </c>
      <c r="I146">
        <v>4860</v>
      </c>
      <c r="J146">
        <v>3510</v>
      </c>
      <c r="K146">
        <v>17058600</v>
      </c>
      <c r="L146">
        <v>0</v>
      </c>
      <c r="M146">
        <v>17058600</v>
      </c>
      <c r="N146" t="s">
        <v>639</v>
      </c>
      <c r="O146" t="s">
        <v>21</v>
      </c>
    </row>
    <row r="147" spans="1:15" x14ac:dyDescent="0.3">
      <c r="A147" t="str">
        <f t="shared" si="2"/>
        <v>ETHW000542-R000-XX</v>
      </c>
      <c r="B147" t="s">
        <v>14</v>
      </c>
      <c r="C147" t="s">
        <v>1675</v>
      </c>
      <c r="D147" t="s">
        <v>16</v>
      </c>
      <c r="E147" t="s">
        <v>1676</v>
      </c>
      <c r="F147" t="s">
        <v>18</v>
      </c>
      <c r="G147" t="s">
        <v>210</v>
      </c>
      <c r="H147">
        <v>0</v>
      </c>
      <c r="I147">
        <v>90</v>
      </c>
      <c r="J147">
        <v>3510</v>
      </c>
      <c r="K147">
        <v>315900</v>
      </c>
      <c r="L147">
        <v>0</v>
      </c>
      <c r="M147">
        <v>315900</v>
      </c>
      <c r="N147" t="s">
        <v>642</v>
      </c>
      <c r="O147" t="s">
        <v>21</v>
      </c>
    </row>
    <row r="148" spans="1:15" x14ac:dyDescent="0.3">
      <c r="A148" t="str">
        <f t="shared" si="2"/>
        <v>ETHW000542-R000-XX</v>
      </c>
      <c r="B148" t="s">
        <v>14</v>
      </c>
      <c r="C148" t="s">
        <v>1675</v>
      </c>
      <c r="D148" t="s">
        <v>16</v>
      </c>
      <c r="E148" t="s">
        <v>1676</v>
      </c>
      <c r="F148" t="s">
        <v>18</v>
      </c>
      <c r="G148" t="s">
        <v>111</v>
      </c>
      <c r="H148">
        <v>0</v>
      </c>
      <c r="I148">
        <v>1170</v>
      </c>
      <c r="J148">
        <v>3510</v>
      </c>
      <c r="K148">
        <v>4106700</v>
      </c>
      <c r="L148">
        <v>0</v>
      </c>
      <c r="M148">
        <v>4106700</v>
      </c>
      <c r="N148" t="s">
        <v>642</v>
      </c>
      <c r="O148" t="s">
        <v>21</v>
      </c>
    </row>
    <row r="149" spans="1:15" x14ac:dyDescent="0.3">
      <c r="A149" t="str">
        <f t="shared" si="2"/>
        <v>ETHW000542-R000-XX</v>
      </c>
      <c r="B149" t="s">
        <v>14</v>
      </c>
      <c r="C149" t="s">
        <v>1675</v>
      </c>
      <c r="D149" t="s">
        <v>16</v>
      </c>
      <c r="E149" t="s">
        <v>1676</v>
      </c>
      <c r="F149" t="s">
        <v>18</v>
      </c>
      <c r="G149" t="s">
        <v>35</v>
      </c>
      <c r="H149">
        <v>0</v>
      </c>
      <c r="I149">
        <v>0</v>
      </c>
      <c r="J149">
        <v>3580</v>
      </c>
      <c r="K149">
        <v>0</v>
      </c>
      <c r="L149">
        <v>0</v>
      </c>
      <c r="M149">
        <v>0</v>
      </c>
      <c r="N149" t="s">
        <v>642</v>
      </c>
      <c r="O149" t="s">
        <v>21</v>
      </c>
    </row>
    <row r="150" spans="1:15" x14ac:dyDescent="0.3">
      <c r="A150" t="str">
        <f t="shared" si="2"/>
        <v>ETHW000542-R000-XX</v>
      </c>
      <c r="B150" t="s">
        <v>14</v>
      </c>
      <c r="C150" t="s">
        <v>1675</v>
      </c>
      <c r="D150" t="s">
        <v>16</v>
      </c>
      <c r="E150" t="s">
        <v>1676</v>
      </c>
      <c r="F150" t="s">
        <v>18</v>
      </c>
      <c r="G150" t="s">
        <v>174</v>
      </c>
      <c r="H150">
        <v>0</v>
      </c>
      <c r="I150">
        <v>960</v>
      </c>
      <c r="J150">
        <v>3510</v>
      </c>
      <c r="K150">
        <v>3369600</v>
      </c>
      <c r="L150">
        <v>0</v>
      </c>
      <c r="M150">
        <v>3369600</v>
      </c>
      <c r="N150" t="s">
        <v>642</v>
      </c>
      <c r="O150" t="s">
        <v>21</v>
      </c>
    </row>
    <row r="151" spans="1:15" x14ac:dyDescent="0.3">
      <c r="A151" t="str">
        <f t="shared" si="2"/>
        <v>ETHW000542-R000-XX</v>
      </c>
      <c r="B151" t="s">
        <v>14</v>
      </c>
      <c r="C151" t="s">
        <v>1675</v>
      </c>
      <c r="D151" t="s">
        <v>16</v>
      </c>
      <c r="E151" t="s">
        <v>1676</v>
      </c>
      <c r="F151" t="s">
        <v>18</v>
      </c>
      <c r="G151" t="s">
        <v>49</v>
      </c>
      <c r="H151">
        <v>0</v>
      </c>
      <c r="I151">
        <v>4860</v>
      </c>
      <c r="J151">
        <v>3510</v>
      </c>
      <c r="K151">
        <v>17058600</v>
      </c>
      <c r="L151">
        <v>0</v>
      </c>
      <c r="M151">
        <v>17058600</v>
      </c>
      <c r="N151" t="s">
        <v>642</v>
      </c>
      <c r="O151" t="s">
        <v>21</v>
      </c>
    </row>
    <row r="152" spans="1:15" x14ac:dyDescent="0.3">
      <c r="A152" t="str">
        <f t="shared" si="2"/>
        <v>ETHW000542-R000-XX</v>
      </c>
      <c r="B152" t="s">
        <v>14</v>
      </c>
      <c r="C152" t="s">
        <v>1675</v>
      </c>
      <c r="D152" t="s">
        <v>16</v>
      </c>
      <c r="E152" t="s">
        <v>1676</v>
      </c>
      <c r="F152" t="s">
        <v>18</v>
      </c>
      <c r="G152" t="s">
        <v>35</v>
      </c>
      <c r="H152">
        <v>0</v>
      </c>
      <c r="I152">
        <v>1772</v>
      </c>
      <c r="J152">
        <v>3510</v>
      </c>
      <c r="K152">
        <v>6219720</v>
      </c>
      <c r="L152">
        <v>0</v>
      </c>
      <c r="M152">
        <v>6219720</v>
      </c>
      <c r="N152" t="s">
        <v>642</v>
      </c>
      <c r="O152" t="s">
        <v>21</v>
      </c>
    </row>
    <row r="153" spans="1:15" x14ac:dyDescent="0.3">
      <c r="A153" t="str">
        <f t="shared" si="2"/>
        <v>ETHW000545-R000-LG</v>
      </c>
      <c r="B153" t="s">
        <v>14</v>
      </c>
      <c r="C153" t="s">
        <v>160</v>
      </c>
      <c r="D153" t="s">
        <v>161</v>
      </c>
      <c r="E153" t="s">
        <v>162</v>
      </c>
      <c r="F153" t="s">
        <v>18</v>
      </c>
      <c r="G153" t="s">
        <v>83</v>
      </c>
      <c r="H153">
        <v>0</v>
      </c>
      <c r="I153">
        <v>310</v>
      </c>
      <c r="J153">
        <v>2010</v>
      </c>
      <c r="K153">
        <v>623100</v>
      </c>
      <c r="L153">
        <v>0</v>
      </c>
      <c r="M153">
        <v>623100</v>
      </c>
      <c r="N153" t="s">
        <v>163</v>
      </c>
      <c r="O153" t="s">
        <v>21</v>
      </c>
    </row>
    <row r="154" spans="1:15" x14ac:dyDescent="0.3">
      <c r="A154" t="str">
        <f t="shared" si="2"/>
        <v>ETHW000548-R000-BK</v>
      </c>
      <c r="B154" t="s">
        <v>14</v>
      </c>
      <c r="C154" t="s">
        <v>165</v>
      </c>
      <c r="D154" t="s">
        <v>31</v>
      </c>
      <c r="E154" t="s">
        <v>166</v>
      </c>
      <c r="F154" t="s">
        <v>18</v>
      </c>
      <c r="G154" t="s">
        <v>35</v>
      </c>
      <c r="H154">
        <v>0</v>
      </c>
      <c r="I154">
        <v>0</v>
      </c>
      <c r="J154">
        <v>590</v>
      </c>
      <c r="K154">
        <v>0</v>
      </c>
      <c r="L154">
        <v>0</v>
      </c>
      <c r="M154">
        <v>0</v>
      </c>
      <c r="N154" t="s">
        <v>164</v>
      </c>
      <c r="O154" t="s">
        <v>21</v>
      </c>
    </row>
    <row r="155" spans="1:15" x14ac:dyDescent="0.3">
      <c r="A155" t="str">
        <f t="shared" si="2"/>
        <v>ETHW000548-R000-BK</v>
      </c>
      <c r="B155" t="s">
        <v>14</v>
      </c>
      <c r="C155" t="s">
        <v>165</v>
      </c>
      <c r="D155" t="s">
        <v>31</v>
      </c>
      <c r="E155" t="s">
        <v>166</v>
      </c>
      <c r="F155" t="s">
        <v>18</v>
      </c>
      <c r="G155" t="s">
        <v>35</v>
      </c>
      <c r="H155">
        <v>0</v>
      </c>
      <c r="I155">
        <v>20600</v>
      </c>
      <c r="J155">
        <v>540</v>
      </c>
      <c r="K155">
        <v>11124000</v>
      </c>
      <c r="L155">
        <v>0</v>
      </c>
      <c r="M155">
        <v>11124000</v>
      </c>
      <c r="N155" t="s">
        <v>164</v>
      </c>
      <c r="O155" t="s">
        <v>21</v>
      </c>
    </row>
    <row r="156" spans="1:15" x14ac:dyDescent="0.3">
      <c r="A156" t="str">
        <f t="shared" si="2"/>
        <v>ETHW000548-R000-BK</v>
      </c>
      <c r="B156" t="s">
        <v>14</v>
      </c>
      <c r="C156" t="s">
        <v>165</v>
      </c>
      <c r="D156" t="s">
        <v>31</v>
      </c>
      <c r="E156" t="s">
        <v>166</v>
      </c>
      <c r="F156" t="s">
        <v>18</v>
      </c>
      <c r="G156" t="s">
        <v>49</v>
      </c>
      <c r="H156">
        <v>0</v>
      </c>
      <c r="I156">
        <v>1000</v>
      </c>
      <c r="J156">
        <v>540</v>
      </c>
      <c r="K156">
        <v>540000</v>
      </c>
      <c r="L156">
        <v>0</v>
      </c>
      <c r="M156">
        <v>540000</v>
      </c>
      <c r="N156" t="s">
        <v>164</v>
      </c>
      <c r="O156" t="s">
        <v>21</v>
      </c>
    </row>
    <row r="157" spans="1:15" x14ac:dyDescent="0.3">
      <c r="A157" t="str">
        <f t="shared" si="2"/>
        <v>ETHW000548-R000-BK</v>
      </c>
      <c r="B157" t="s">
        <v>14</v>
      </c>
      <c r="C157" t="s">
        <v>165</v>
      </c>
      <c r="D157" t="s">
        <v>31</v>
      </c>
      <c r="E157" t="s">
        <v>166</v>
      </c>
      <c r="F157" t="s">
        <v>18</v>
      </c>
      <c r="G157" t="s">
        <v>22</v>
      </c>
      <c r="H157">
        <v>0</v>
      </c>
      <c r="I157">
        <v>2</v>
      </c>
      <c r="J157">
        <v>540</v>
      </c>
      <c r="K157">
        <v>1080</v>
      </c>
      <c r="L157">
        <v>0</v>
      </c>
      <c r="M157">
        <v>1080</v>
      </c>
      <c r="N157" t="s">
        <v>164</v>
      </c>
      <c r="O157" t="s">
        <v>21</v>
      </c>
    </row>
    <row r="158" spans="1:15" x14ac:dyDescent="0.3">
      <c r="A158" t="str">
        <f t="shared" si="2"/>
        <v>ETHW000553-R000-TS</v>
      </c>
      <c r="B158" t="s">
        <v>14</v>
      </c>
      <c r="C158" t="s">
        <v>167</v>
      </c>
      <c r="D158" t="s">
        <v>168</v>
      </c>
      <c r="E158" t="s">
        <v>169</v>
      </c>
      <c r="F158" t="s">
        <v>18</v>
      </c>
      <c r="G158" t="s">
        <v>68</v>
      </c>
      <c r="H158">
        <v>0</v>
      </c>
      <c r="I158">
        <v>4800</v>
      </c>
      <c r="J158">
        <v>720</v>
      </c>
      <c r="K158">
        <v>3456000</v>
      </c>
      <c r="L158">
        <v>0</v>
      </c>
      <c r="M158">
        <v>3456000</v>
      </c>
      <c r="N158" t="s">
        <v>164</v>
      </c>
      <c r="O158" t="s">
        <v>21</v>
      </c>
    </row>
    <row r="159" spans="1:15" x14ac:dyDescent="0.3">
      <c r="A159" t="str">
        <f t="shared" si="2"/>
        <v>ETHW000553-R000-TS</v>
      </c>
      <c r="B159" t="s">
        <v>14</v>
      </c>
      <c r="C159" t="s">
        <v>167</v>
      </c>
      <c r="D159" t="s">
        <v>168</v>
      </c>
      <c r="E159" t="s">
        <v>169</v>
      </c>
      <c r="F159" t="s">
        <v>18</v>
      </c>
      <c r="G159" t="s">
        <v>68</v>
      </c>
      <c r="H159">
        <v>0</v>
      </c>
      <c r="I159">
        <v>0</v>
      </c>
      <c r="J159">
        <v>780</v>
      </c>
      <c r="K159">
        <v>0</v>
      </c>
      <c r="L159">
        <v>0</v>
      </c>
      <c r="M159">
        <v>0</v>
      </c>
      <c r="N159" t="s">
        <v>164</v>
      </c>
      <c r="O159" t="s">
        <v>21</v>
      </c>
    </row>
    <row r="160" spans="1:15" x14ac:dyDescent="0.3">
      <c r="A160" t="str">
        <f t="shared" si="2"/>
        <v>ETHW000553-R000-TS</v>
      </c>
      <c r="B160" t="s">
        <v>14</v>
      </c>
      <c r="C160" t="s">
        <v>167</v>
      </c>
      <c r="D160" t="s">
        <v>168</v>
      </c>
      <c r="E160" t="s">
        <v>169</v>
      </c>
      <c r="F160" t="s">
        <v>18</v>
      </c>
      <c r="G160" t="s">
        <v>1677</v>
      </c>
      <c r="H160">
        <v>0</v>
      </c>
      <c r="I160">
        <v>600</v>
      </c>
      <c r="J160">
        <v>720</v>
      </c>
      <c r="K160">
        <v>432000</v>
      </c>
      <c r="L160">
        <v>0</v>
      </c>
      <c r="M160">
        <v>432000</v>
      </c>
      <c r="N160" t="s">
        <v>164</v>
      </c>
      <c r="O160" t="s">
        <v>21</v>
      </c>
    </row>
    <row r="161" spans="1:15" x14ac:dyDescent="0.3">
      <c r="A161" t="str">
        <f t="shared" si="2"/>
        <v>ETHW000553-R000-TS</v>
      </c>
      <c r="B161" t="s">
        <v>14</v>
      </c>
      <c r="C161" t="s">
        <v>167</v>
      </c>
      <c r="D161" t="s">
        <v>168</v>
      </c>
      <c r="E161" t="s">
        <v>169</v>
      </c>
      <c r="F161" t="s">
        <v>18</v>
      </c>
      <c r="G161" t="s">
        <v>246</v>
      </c>
      <c r="H161">
        <v>0</v>
      </c>
      <c r="I161">
        <v>0</v>
      </c>
      <c r="J161">
        <v>780</v>
      </c>
      <c r="K161">
        <v>0</v>
      </c>
      <c r="L161">
        <v>0</v>
      </c>
      <c r="M161">
        <v>0</v>
      </c>
      <c r="N161" t="s">
        <v>164</v>
      </c>
      <c r="O161" t="s">
        <v>21</v>
      </c>
    </row>
    <row r="162" spans="1:15" x14ac:dyDescent="0.3">
      <c r="A162" t="str">
        <f t="shared" si="2"/>
        <v>ETHW000553-R000-TS</v>
      </c>
      <c r="B162" t="s">
        <v>14</v>
      </c>
      <c r="C162" t="s">
        <v>167</v>
      </c>
      <c r="D162" t="s">
        <v>168</v>
      </c>
      <c r="E162" t="s">
        <v>169</v>
      </c>
      <c r="F162" t="s">
        <v>18</v>
      </c>
      <c r="G162" t="s">
        <v>246</v>
      </c>
      <c r="H162">
        <v>0</v>
      </c>
      <c r="I162">
        <v>497</v>
      </c>
      <c r="J162">
        <v>720</v>
      </c>
      <c r="K162">
        <v>357840</v>
      </c>
      <c r="L162">
        <v>0</v>
      </c>
      <c r="M162">
        <v>357840</v>
      </c>
      <c r="N162" t="s">
        <v>164</v>
      </c>
      <c r="O162" t="s">
        <v>21</v>
      </c>
    </row>
    <row r="163" spans="1:15" x14ac:dyDescent="0.3">
      <c r="A163" t="str">
        <f t="shared" si="2"/>
        <v>ETHW000554-R000-WH</v>
      </c>
      <c r="B163" t="s">
        <v>14</v>
      </c>
      <c r="C163" t="s">
        <v>1678</v>
      </c>
      <c r="D163" t="s">
        <v>65</v>
      </c>
      <c r="E163" t="s">
        <v>1679</v>
      </c>
      <c r="F163" t="s">
        <v>18</v>
      </c>
      <c r="G163" t="s">
        <v>22</v>
      </c>
      <c r="H163">
        <v>0</v>
      </c>
      <c r="I163">
        <v>3</v>
      </c>
      <c r="J163">
        <v>14590</v>
      </c>
      <c r="K163">
        <v>43770</v>
      </c>
      <c r="L163">
        <v>0</v>
      </c>
      <c r="M163">
        <v>43770</v>
      </c>
      <c r="N163" t="s">
        <v>1680</v>
      </c>
      <c r="O163" t="s">
        <v>21</v>
      </c>
    </row>
    <row r="164" spans="1:15" x14ac:dyDescent="0.3">
      <c r="A164" t="str">
        <f t="shared" si="2"/>
        <v>ETHW000555-R000-WH</v>
      </c>
      <c r="B164" t="s">
        <v>14</v>
      </c>
      <c r="C164" t="s">
        <v>1681</v>
      </c>
      <c r="D164" t="s">
        <v>65</v>
      </c>
      <c r="E164" t="s">
        <v>1682</v>
      </c>
      <c r="F164" t="s">
        <v>18</v>
      </c>
      <c r="G164" t="s">
        <v>22</v>
      </c>
      <c r="H164">
        <v>0</v>
      </c>
      <c r="I164">
        <v>2</v>
      </c>
      <c r="J164">
        <v>14590</v>
      </c>
      <c r="K164">
        <v>29180</v>
      </c>
      <c r="L164">
        <v>0</v>
      </c>
      <c r="M164">
        <v>29180</v>
      </c>
      <c r="N164" t="s">
        <v>1680</v>
      </c>
      <c r="O164" t="s">
        <v>21</v>
      </c>
    </row>
    <row r="165" spans="1:15" x14ac:dyDescent="0.3">
      <c r="A165" t="str">
        <f t="shared" si="2"/>
        <v>ETHW000575-R000-MM</v>
      </c>
      <c r="B165" t="s">
        <v>14</v>
      </c>
      <c r="C165" t="s">
        <v>170</v>
      </c>
      <c r="D165" t="s">
        <v>57</v>
      </c>
      <c r="E165" t="s">
        <v>171</v>
      </c>
      <c r="F165" t="s">
        <v>18</v>
      </c>
      <c r="G165" t="s">
        <v>19</v>
      </c>
      <c r="H165">
        <v>0</v>
      </c>
      <c r="I165">
        <v>500</v>
      </c>
      <c r="J165">
        <v>700</v>
      </c>
      <c r="K165">
        <v>350000</v>
      </c>
      <c r="L165">
        <v>0</v>
      </c>
      <c r="M165">
        <v>350000</v>
      </c>
      <c r="N165" t="s">
        <v>172</v>
      </c>
      <c r="O165" t="s">
        <v>21</v>
      </c>
    </row>
    <row r="166" spans="1:15" x14ac:dyDescent="0.3">
      <c r="A166" t="str">
        <f t="shared" si="2"/>
        <v>ETHW000575-R000-MM</v>
      </c>
      <c r="B166" t="s">
        <v>14</v>
      </c>
      <c r="C166" t="s">
        <v>170</v>
      </c>
      <c r="D166" t="s">
        <v>57</v>
      </c>
      <c r="E166" t="s">
        <v>171</v>
      </c>
      <c r="F166" t="s">
        <v>18</v>
      </c>
      <c r="G166" t="s">
        <v>22</v>
      </c>
      <c r="H166">
        <v>0</v>
      </c>
      <c r="I166">
        <v>100</v>
      </c>
      <c r="J166">
        <v>690</v>
      </c>
      <c r="K166">
        <v>69000</v>
      </c>
      <c r="L166">
        <v>0</v>
      </c>
      <c r="M166">
        <v>69000</v>
      </c>
      <c r="N166" t="s">
        <v>172</v>
      </c>
      <c r="O166" t="s">
        <v>21</v>
      </c>
    </row>
    <row r="167" spans="1:15" x14ac:dyDescent="0.3">
      <c r="A167" t="str">
        <f t="shared" si="2"/>
        <v>ETHW000575-R000-MM</v>
      </c>
      <c r="B167" t="s">
        <v>14</v>
      </c>
      <c r="C167" t="s">
        <v>170</v>
      </c>
      <c r="D167" t="s">
        <v>57</v>
      </c>
      <c r="E167" t="s">
        <v>171</v>
      </c>
      <c r="F167" t="s">
        <v>18</v>
      </c>
      <c r="G167" t="s">
        <v>22</v>
      </c>
      <c r="H167">
        <v>0</v>
      </c>
      <c r="I167">
        <v>200</v>
      </c>
      <c r="J167">
        <v>700</v>
      </c>
      <c r="K167">
        <v>140000</v>
      </c>
      <c r="L167">
        <v>0</v>
      </c>
      <c r="M167">
        <v>140000</v>
      </c>
      <c r="N167" t="s">
        <v>172</v>
      </c>
      <c r="O167" t="s">
        <v>21</v>
      </c>
    </row>
    <row r="168" spans="1:15" x14ac:dyDescent="0.3">
      <c r="A168" t="str">
        <f t="shared" si="2"/>
        <v>ETHW001017-R000-NI</v>
      </c>
      <c r="B168" t="s">
        <v>14</v>
      </c>
      <c r="C168" t="s">
        <v>1683</v>
      </c>
      <c r="D168" t="s">
        <v>67</v>
      </c>
      <c r="E168" t="s">
        <v>1684</v>
      </c>
      <c r="F168" t="s">
        <v>18</v>
      </c>
      <c r="G168" t="s">
        <v>1685</v>
      </c>
      <c r="H168">
        <v>0</v>
      </c>
      <c r="I168">
        <v>1000</v>
      </c>
      <c r="J168">
        <v>190</v>
      </c>
      <c r="K168">
        <v>190000</v>
      </c>
      <c r="L168">
        <v>0</v>
      </c>
      <c r="M168">
        <v>190000</v>
      </c>
      <c r="N168" t="s">
        <v>1686</v>
      </c>
      <c r="O168" t="s">
        <v>21</v>
      </c>
    </row>
    <row r="169" spans="1:15" x14ac:dyDescent="0.3">
      <c r="A169" t="str">
        <f t="shared" si="2"/>
        <v>ETHW001030-R000-NI</v>
      </c>
      <c r="B169" t="s">
        <v>14</v>
      </c>
      <c r="C169" t="s">
        <v>1687</v>
      </c>
      <c r="D169" t="s">
        <v>67</v>
      </c>
      <c r="E169" t="s">
        <v>1688</v>
      </c>
      <c r="F169" t="s">
        <v>18</v>
      </c>
      <c r="G169" t="s">
        <v>49</v>
      </c>
      <c r="H169">
        <v>0</v>
      </c>
      <c r="I169">
        <v>5000</v>
      </c>
      <c r="J169">
        <v>83</v>
      </c>
      <c r="K169">
        <v>415000</v>
      </c>
      <c r="L169">
        <v>0</v>
      </c>
      <c r="M169">
        <v>415000</v>
      </c>
      <c r="N169" t="s">
        <v>1689</v>
      </c>
      <c r="O169" t="s">
        <v>21</v>
      </c>
    </row>
    <row r="170" spans="1:15" x14ac:dyDescent="0.3">
      <c r="A170" t="str">
        <f t="shared" si="2"/>
        <v>ETHW001285-R000-XX</v>
      </c>
      <c r="B170" t="s">
        <v>14</v>
      </c>
      <c r="C170" t="s">
        <v>1690</v>
      </c>
      <c r="D170" t="s">
        <v>16</v>
      </c>
      <c r="E170" t="s">
        <v>1691</v>
      </c>
      <c r="F170" t="s">
        <v>18</v>
      </c>
      <c r="G170" t="s">
        <v>49</v>
      </c>
      <c r="H170">
        <v>0</v>
      </c>
      <c r="I170">
        <v>3780</v>
      </c>
      <c r="J170">
        <v>3620</v>
      </c>
      <c r="K170">
        <v>13683600</v>
      </c>
      <c r="L170">
        <v>0</v>
      </c>
      <c r="M170">
        <v>13683600</v>
      </c>
      <c r="N170" t="s">
        <v>645</v>
      </c>
      <c r="O170" t="s">
        <v>21</v>
      </c>
    </row>
    <row r="171" spans="1:15" x14ac:dyDescent="0.3">
      <c r="A171" t="str">
        <f t="shared" si="2"/>
        <v>ETHW001285-R000-XX</v>
      </c>
      <c r="B171" t="s">
        <v>14</v>
      </c>
      <c r="C171" t="s">
        <v>1690</v>
      </c>
      <c r="D171" t="s">
        <v>16</v>
      </c>
      <c r="E171" t="s">
        <v>1691</v>
      </c>
      <c r="F171" t="s">
        <v>18</v>
      </c>
      <c r="G171" t="s">
        <v>35</v>
      </c>
      <c r="H171">
        <v>0</v>
      </c>
      <c r="I171">
        <v>300</v>
      </c>
      <c r="J171">
        <v>3620</v>
      </c>
      <c r="K171">
        <v>1086000</v>
      </c>
      <c r="L171">
        <v>0</v>
      </c>
      <c r="M171">
        <v>1086000</v>
      </c>
      <c r="N171" t="s">
        <v>645</v>
      </c>
      <c r="O171" t="s">
        <v>21</v>
      </c>
    </row>
    <row r="172" spans="1:15" x14ac:dyDescent="0.3">
      <c r="A172" t="str">
        <f t="shared" si="2"/>
        <v>ETHW001285-R000-XX</v>
      </c>
      <c r="B172" t="s">
        <v>14</v>
      </c>
      <c r="C172" t="s">
        <v>1690</v>
      </c>
      <c r="D172" t="s">
        <v>16</v>
      </c>
      <c r="E172" t="s">
        <v>1691</v>
      </c>
      <c r="F172" t="s">
        <v>18</v>
      </c>
      <c r="G172" t="s">
        <v>111</v>
      </c>
      <c r="H172">
        <v>0</v>
      </c>
      <c r="I172">
        <v>120</v>
      </c>
      <c r="J172">
        <v>3620</v>
      </c>
      <c r="K172">
        <v>434400</v>
      </c>
      <c r="L172">
        <v>0</v>
      </c>
      <c r="M172">
        <v>434400</v>
      </c>
      <c r="N172" t="s">
        <v>645</v>
      </c>
      <c r="O172" t="s">
        <v>21</v>
      </c>
    </row>
    <row r="173" spans="1:15" x14ac:dyDescent="0.3">
      <c r="A173" t="str">
        <f t="shared" si="2"/>
        <v>ETHW001286-R000-XX</v>
      </c>
      <c r="B173" t="s">
        <v>14</v>
      </c>
      <c r="C173" t="s">
        <v>1692</v>
      </c>
      <c r="D173" t="s">
        <v>16</v>
      </c>
      <c r="E173" t="s">
        <v>1693</v>
      </c>
      <c r="F173" t="s">
        <v>18</v>
      </c>
      <c r="G173" t="s">
        <v>35</v>
      </c>
      <c r="H173">
        <v>0</v>
      </c>
      <c r="I173">
        <v>300</v>
      </c>
      <c r="J173">
        <v>3620</v>
      </c>
      <c r="K173">
        <v>1086000</v>
      </c>
      <c r="L173">
        <v>0</v>
      </c>
      <c r="M173">
        <v>1086000</v>
      </c>
      <c r="N173" t="s">
        <v>648</v>
      </c>
      <c r="O173" t="s">
        <v>21</v>
      </c>
    </row>
    <row r="174" spans="1:15" x14ac:dyDescent="0.3">
      <c r="A174" t="str">
        <f t="shared" si="2"/>
        <v>ETHW001286-R000-XX</v>
      </c>
      <c r="B174" t="s">
        <v>14</v>
      </c>
      <c r="C174" t="s">
        <v>1692</v>
      </c>
      <c r="D174" t="s">
        <v>16</v>
      </c>
      <c r="E174" t="s">
        <v>1693</v>
      </c>
      <c r="F174" t="s">
        <v>18</v>
      </c>
      <c r="G174" t="s">
        <v>111</v>
      </c>
      <c r="H174">
        <v>0</v>
      </c>
      <c r="I174">
        <v>120</v>
      </c>
      <c r="J174">
        <v>3620</v>
      </c>
      <c r="K174">
        <v>434400</v>
      </c>
      <c r="L174">
        <v>0</v>
      </c>
      <c r="M174">
        <v>434400</v>
      </c>
      <c r="N174" t="s">
        <v>648</v>
      </c>
      <c r="O174" t="s">
        <v>21</v>
      </c>
    </row>
    <row r="175" spans="1:15" x14ac:dyDescent="0.3">
      <c r="A175" t="str">
        <f t="shared" si="2"/>
        <v>ETHW001286-R000-XX</v>
      </c>
      <c r="B175" t="s">
        <v>14</v>
      </c>
      <c r="C175" t="s">
        <v>1692</v>
      </c>
      <c r="D175" t="s">
        <v>16</v>
      </c>
      <c r="E175" t="s">
        <v>1693</v>
      </c>
      <c r="F175" t="s">
        <v>18</v>
      </c>
      <c r="G175" t="s">
        <v>49</v>
      </c>
      <c r="H175">
        <v>0</v>
      </c>
      <c r="I175">
        <v>3780</v>
      </c>
      <c r="J175">
        <v>3620</v>
      </c>
      <c r="K175">
        <v>13683600</v>
      </c>
      <c r="L175">
        <v>0</v>
      </c>
      <c r="M175">
        <v>13683600</v>
      </c>
      <c r="N175" t="s">
        <v>648</v>
      </c>
      <c r="O175" t="s">
        <v>21</v>
      </c>
    </row>
    <row r="176" spans="1:15" x14ac:dyDescent="0.3">
      <c r="A176" t="str">
        <f t="shared" si="2"/>
        <v>ETHW001290-R000-CR</v>
      </c>
      <c r="B176" t="s">
        <v>14</v>
      </c>
      <c r="C176" t="s">
        <v>175</v>
      </c>
      <c r="D176" t="s">
        <v>81</v>
      </c>
      <c r="E176" t="s">
        <v>1694</v>
      </c>
      <c r="F176" t="s">
        <v>18</v>
      </c>
      <c r="G176" t="s">
        <v>22</v>
      </c>
      <c r="H176">
        <v>0</v>
      </c>
      <c r="I176">
        <v>18</v>
      </c>
      <c r="J176">
        <v>2520</v>
      </c>
      <c r="K176">
        <v>45360</v>
      </c>
      <c r="L176">
        <v>0</v>
      </c>
      <c r="M176">
        <v>45360</v>
      </c>
      <c r="N176" t="s">
        <v>101</v>
      </c>
      <c r="O176" t="s">
        <v>21</v>
      </c>
    </row>
    <row r="177" spans="1:15" x14ac:dyDescent="0.3">
      <c r="A177" t="str">
        <f t="shared" si="2"/>
        <v>ETHW001291-R000-CR</v>
      </c>
      <c r="B177" t="s">
        <v>14</v>
      </c>
      <c r="C177" t="s">
        <v>176</v>
      </c>
      <c r="D177" t="s">
        <v>81</v>
      </c>
      <c r="E177" t="s">
        <v>1695</v>
      </c>
      <c r="F177" t="s">
        <v>18</v>
      </c>
      <c r="G177" t="s">
        <v>22</v>
      </c>
      <c r="H177">
        <v>0</v>
      </c>
      <c r="I177">
        <v>18</v>
      </c>
      <c r="J177">
        <v>580</v>
      </c>
      <c r="K177">
        <v>10440</v>
      </c>
      <c r="L177">
        <v>0</v>
      </c>
      <c r="M177">
        <v>10440</v>
      </c>
      <c r="N177" t="s">
        <v>1696</v>
      </c>
      <c r="O177" t="s">
        <v>21</v>
      </c>
    </row>
    <row r="178" spans="1:15" x14ac:dyDescent="0.3">
      <c r="A178" t="str">
        <f t="shared" si="2"/>
        <v>FBFP002687-R000-C127</v>
      </c>
      <c r="B178" t="s">
        <v>14</v>
      </c>
      <c r="C178" t="s">
        <v>177</v>
      </c>
      <c r="D178" t="s">
        <v>178</v>
      </c>
      <c r="E178" t="s">
        <v>179</v>
      </c>
      <c r="F178" t="s">
        <v>18</v>
      </c>
      <c r="G178" t="s">
        <v>19</v>
      </c>
      <c r="H178">
        <v>0</v>
      </c>
      <c r="I178">
        <v>1000</v>
      </c>
      <c r="J178">
        <v>13</v>
      </c>
      <c r="K178">
        <v>13000</v>
      </c>
      <c r="L178">
        <v>0</v>
      </c>
      <c r="M178">
        <v>13000</v>
      </c>
      <c r="N178" t="s">
        <v>180</v>
      </c>
      <c r="O178" t="s">
        <v>21</v>
      </c>
    </row>
    <row r="179" spans="1:15" x14ac:dyDescent="0.3">
      <c r="A179" t="str">
        <f t="shared" si="2"/>
        <v>FBFP002687-R000-C127</v>
      </c>
      <c r="B179" t="s">
        <v>14</v>
      </c>
      <c r="C179" t="s">
        <v>177</v>
      </c>
      <c r="D179" t="s">
        <v>178</v>
      </c>
      <c r="E179" t="s">
        <v>179</v>
      </c>
      <c r="F179" t="s">
        <v>18</v>
      </c>
      <c r="G179" t="s">
        <v>23</v>
      </c>
      <c r="H179">
        <v>0</v>
      </c>
      <c r="I179">
        <v>5080</v>
      </c>
      <c r="J179">
        <v>13</v>
      </c>
      <c r="K179">
        <v>66040</v>
      </c>
      <c r="L179">
        <v>0</v>
      </c>
      <c r="M179">
        <v>66040</v>
      </c>
      <c r="N179" t="s">
        <v>180</v>
      </c>
      <c r="O179" t="s">
        <v>21</v>
      </c>
    </row>
    <row r="180" spans="1:15" x14ac:dyDescent="0.3">
      <c r="A180" t="str">
        <f t="shared" si="2"/>
        <v>NSNW000653-R001-WWM</v>
      </c>
      <c r="B180" t="s">
        <v>14</v>
      </c>
      <c r="C180" t="s">
        <v>181</v>
      </c>
      <c r="D180" t="s">
        <v>182</v>
      </c>
      <c r="E180" t="s">
        <v>183</v>
      </c>
      <c r="F180" t="s">
        <v>18</v>
      </c>
      <c r="G180" t="s">
        <v>29</v>
      </c>
      <c r="H180">
        <v>0</v>
      </c>
      <c r="I180">
        <v>209</v>
      </c>
      <c r="J180">
        <v>1860</v>
      </c>
      <c r="K180">
        <v>388740</v>
      </c>
      <c r="L180">
        <v>0</v>
      </c>
      <c r="M180">
        <v>388740</v>
      </c>
      <c r="N180" t="s">
        <v>184</v>
      </c>
      <c r="O180" t="s">
        <v>21</v>
      </c>
    </row>
    <row r="181" spans="1:15" x14ac:dyDescent="0.3">
      <c r="A181" t="str">
        <f t="shared" si="2"/>
        <v>NSNW000890-R000-SV</v>
      </c>
      <c r="B181" t="s">
        <v>14</v>
      </c>
      <c r="C181" t="s">
        <v>185</v>
      </c>
      <c r="D181" t="s">
        <v>173</v>
      </c>
      <c r="E181" t="s">
        <v>186</v>
      </c>
      <c r="F181" t="s">
        <v>18</v>
      </c>
      <c r="G181" t="s">
        <v>29</v>
      </c>
      <c r="H181">
        <v>0</v>
      </c>
      <c r="I181">
        <v>1</v>
      </c>
      <c r="J181">
        <v>420</v>
      </c>
      <c r="K181">
        <v>420</v>
      </c>
      <c r="L181">
        <v>0</v>
      </c>
      <c r="M181">
        <v>420</v>
      </c>
      <c r="N181" t="s">
        <v>187</v>
      </c>
      <c r="O181" t="s">
        <v>21</v>
      </c>
    </row>
    <row r="182" spans="1:15" x14ac:dyDescent="0.3">
      <c r="A182" t="str">
        <f t="shared" si="2"/>
        <v>NSNW000890-R000-SV</v>
      </c>
      <c r="B182" t="s">
        <v>14</v>
      </c>
      <c r="C182" t="s">
        <v>185</v>
      </c>
      <c r="D182" t="s">
        <v>173</v>
      </c>
      <c r="E182" t="s">
        <v>186</v>
      </c>
      <c r="F182" t="s">
        <v>18</v>
      </c>
      <c r="G182" t="s">
        <v>22</v>
      </c>
      <c r="H182">
        <v>0</v>
      </c>
      <c r="I182">
        <v>2</v>
      </c>
      <c r="J182">
        <v>420</v>
      </c>
      <c r="K182">
        <v>840</v>
      </c>
      <c r="L182">
        <v>0</v>
      </c>
      <c r="M182">
        <v>840</v>
      </c>
      <c r="N182" t="s">
        <v>187</v>
      </c>
      <c r="O182" t="s">
        <v>21</v>
      </c>
    </row>
    <row r="183" spans="1:15" x14ac:dyDescent="0.3">
      <c r="A183" t="str">
        <f t="shared" si="2"/>
        <v>NSNW000893-R000-SV</v>
      </c>
      <c r="B183" t="s">
        <v>14</v>
      </c>
      <c r="C183" t="s">
        <v>188</v>
      </c>
      <c r="D183" t="s">
        <v>173</v>
      </c>
      <c r="E183" t="s">
        <v>189</v>
      </c>
      <c r="F183" t="s">
        <v>18</v>
      </c>
      <c r="G183" t="s">
        <v>83</v>
      </c>
      <c r="H183">
        <v>0</v>
      </c>
      <c r="I183">
        <v>3</v>
      </c>
      <c r="J183">
        <v>1530</v>
      </c>
      <c r="K183">
        <v>4590</v>
      </c>
      <c r="L183">
        <v>0</v>
      </c>
      <c r="M183">
        <v>4590</v>
      </c>
      <c r="O183" t="s">
        <v>21</v>
      </c>
    </row>
    <row r="184" spans="1:15" x14ac:dyDescent="0.3">
      <c r="A184" t="str">
        <f t="shared" si="2"/>
        <v>NSNW000895-R000-MCR</v>
      </c>
      <c r="B184" t="s">
        <v>14</v>
      </c>
      <c r="C184" t="s">
        <v>190</v>
      </c>
      <c r="D184" t="s">
        <v>191</v>
      </c>
      <c r="E184" t="s">
        <v>192</v>
      </c>
      <c r="F184" t="s">
        <v>18</v>
      </c>
      <c r="G184" t="s">
        <v>29</v>
      </c>
      <c r="H184">
        <v>0</v>
      </c>
      <c r="I184">
        <v>3</v>
      </c>
      <c r="J184">
        <v>1340</v>
      </c>
      <c r="K184">
        <v>4020</v>
      </c>
      <c r="L184">
        <v>0</v>
      </c>
      <c r="M184">
        <v>4020</v>
      </c>
      <c r="O184" t="s">
        <v>21</v>
      </c>
    </row>
    <row r="185" spans="1:15" x14ac:dyDescent="0.3">
      <c r="A185" t="str">
        <f t="shared" si="2"/>
        <v>NSNW000908-R000-BG</v>
      </c>
      <c r="B185" t="s">
        <v>14</v>
      </c>
      <c r="C185" t="s">
        <v>194</v>
      </c>
      <c r="D185" t="s">
        <v>200</v>
      </c>
      <c r="E185" t="s">
        <v>1697</v>
      </c>
      <c r="F185" t="s">
        <v>18</v>
      </c>
      <c r="G185" t="s">
        <v>22</v>
      </c>
      <c r="H185">
        <v>0</v>
      </c>
      <c r="I185">
        <v>2</v>
      </c>
      <c r="J185">
        <v>1650</v>
      </c>
      <c r="K185">
        <v>3300</v>
      </c>
      <c r="L185">
        <v>0</v>
      </c>
      <c r="M185">
        <v>3300</v>
      </c>
      <c r="N185" t="s">
        <v>197</v>
      </c>
      <c r="O185" t="s">
        <v>21</v>
      </c>
    </row>
    <row r="186" spans="1:15" x14ac:dyDescent="0.3">
      <c r="A186" t="str">
        <f t="shared" si="2"/>
        <v>NSNW000908-R000-FIV</v>
      </c>
      <c r="B186" t="s">
        <v>14</v>
      </c>
      <c r="C186" t="s">
        <v>194</v>
      </c>
      <c r="D186" t="s">
        <v>195</v>
      </c>
      <c r="E186" t="s">
        <v>196</v>
      </c>
      <c r="F186" t="s">
        <v>18</v>
      </c>
      <c r="G186" t="s">
        <v>22</v>
      </c>
      <c r="H186">
        <v>0</v>
      </c>
      <c r="I186">
        <v>2</v>
      </c>
      <c r="J186">
        <v>1650</v>
      </c>
      <c r="K186">
        <v>3300</v>
      </c>
      <c r="L186">
        <v>0</v>
      </c>
      <c r="M186">
        <v>3300</v>
      </c>
      <c r="N186" t="s">
        <v>197</v>
      </c>
      <c r="O186" t="s">
        <v>21</v>
      </c>
    </row>
    <row r="187" spans="1:15" x14ac:dyDescent="0.3">
      <c r="A187" t="str">
        <f t="shared" si="2"/>
        <v>NSNW000908-R000-GY</v>
      </c>
      <c r="B187" t="s">
        <v>14</v>
      </c>
      <c r="C187" t="s">
        <v>194</v>
      </c>
      <c r="D187" t="s">
        <v>47</v>
      </c>
      <c r="E187" t="s">
        <v>198</v>
      </c>
      <c r="F187" t="s">
        <v>18</v>
      </c>
      <c r="G187" t="s">
        <v>22</v>
      </c>
      <c r="H187">
        <v>0</v>
      </c>
      <c r="I187">
        <v>16</v>
      </c>
      <c r="J187">
        <v>1650</v>
      </c>
      <c r="K187">
        <v>26400</v>
      </c>
      <c r="L187">
        <v>0</v>
      </c>
      <c r="M187">
        <v>26400</v>
      </c>
      <c r="N187" t="s">
        <v>197</v>
      </c>
      <c r="O187" t="s">
        <v>21</v>
      </c>
    </row>
    <row r="188" spans="1:15" x14ac:dyDescent="0.3">
      <c r="A188" t="str">
        <f t="shared" si="2"/>
        <v>NSNW000913-R000-BG</v>
      </c>
      <c r="B188" t="s">
        <v>14</v>
      </c>
      <c r="C188" t="s">
        <v>199</v>
      </c>
      <c r="D188" t="s">
        <v>200</v>
      </c>
      <c r="E188" t="s">
        <v>192</v>
      </c>
      <c r="F188" t="s">
        <v>18</v>
      </c>
      <c r="G188" t="s">
        <v>22</v>
      </c>
      <c r="H188">
        <v>0</v>
      </c>
      <c r="I188">
        <v>8</v>
      </c>
      <c r="J188">
        <v>1220</v>
      </c>
      <c r="K188">
        <v>9760</v>
      </c>
      <c r="L188">
        <v>0</v>
      </c>
      <c r="M188">
        <v>9760</v>
      </c>
      <c r="N188" t="s">
        <v>87</v>
      </c>
      <c r="O188" t="s">
        <v>21</v>
      </c>
    </row>
    <row r="189" spans="1:15" x14ac:dyDescent="0.3">
      <c r="A189" t="str">
        <f t="shared" si="2"/>
        <v>NSNW000913-R000-SP</v>
      </c>
      <c r="B189" t="s">
        <v>14</v>
      </c>
      <c r="C189" t="s">
        <v>199</v>
      </c>
      <c r="D189" t="s">
        <v>201</v>
      </c>
      <c r="E189" t="s">
        <v>192</v>
      </c>
      <c r="F189" t="s">
        <v>18</v>
      </c>
      <c r="G189" t="s">
        <v>19</v>
      </c>
      <c r="H189">
        <v>0</v>
      </c>
      <c r="I189">
        <v>500</v>
      </c>
      <c r="J189">
        <v>1220</v>
      </c>
      <c r="K189">
        <v>610000</v>
      </c>
      <c r="L189">
        <v>0</v>
      </c>
      <c r="M189">
        <v>610000</v>
      </c>
      <c r="N189" t="s">
        <v>87</v>
      </c>
      <c r="O189" t="s">
        <v>21</v>
      </c>
    </row>
    <row r="190" spans="1:15" x14ac:dyDescent="0.3">
      <c r="A190" t="str">
        <f t="shared" si="2"/>
        <v>NSNW000913-R000-SP</v>
      </c>
      <c r="B190" t="s">
        <v>14</v>
      </c>
      <c r="C190" t="s">
        <v>199</v>
      </c>
      <c r="D190" t="s">
        <v>201</v>
      </c>
      <c r="E190" t="s">
        <v>192</v>
      </c>
      <c r="F190" t="s">
        <v>18</v>
      </c>
      <c r="G190" t="s">
        <v>83</v>
      </c>
      <c r="H190">
        <v>0</v>
      </c>
      <c r="I190">
        <v>140</v>
      </c>
      <c r="J190">
        <v>1220</v>
      </c>
      <c r="K190">
        <v>170800</v>
      </c>
      <c r="L190">
        <v>0</v>
      </c>
      <c r="M190">
        <v>170800</v>
      </c>
      <c r="N190" t="s">
        <v>87</v>
      </c>
      <c r="O190" t="s">
        <v>21</v>
      </c>
    </row>
    <row r="191" spans="1:15" x14ac:dyDescent="0.3">
      <c r="A191" t="str">
        <f t="shared" si="2"/>
        <v>NSNW000913-R000-SP</v>
      </c>
      <c r="B191" t="s">
        <v>14</v>
      </c>
      <c r="C191" t="s">
        <v>199</v>
      </c>
      <c r="D191" t="s">
        <v>201</v>
      </c>
      <c r="E191" t="s">
        <v>192</v>
      </c>
      <c r="F191" t="s">
        <v>18</v>
      </c>
      <c r="G191" t="s">
        <v>22</v>
      </c>
      <c r="H191">
        <v>0</v>
      </c>
      <c r="I191">
        <v>31</v>
      </c>
      <c r="J191">
        <v>1220</v>
      </c>
      <c r="K191">
        <v>37820</v>
      </c>
      <c r="L191">
        <v>0</v>
      </c>
      <c r="M191">
        <v>37820</v>
      </c>
      <c r="N191" t="s">
        <v>87</v>
      </c>
      <c r="O191" t="s">
        <v>21</v>
      </c>
    </row>
    <row r="192" spans="1:15" x14ac:dyDescent="0.3">
      <c r="A192" t="str">
        <f t="shared" si="2"/>
        <v>NSNW000916-R000-NA</v>
      </c>
      <c r="B192" t="s">
        <v>14</v>
      </c>
      <c r="C192" t="s">
        <v>1698</v>
      </c>
      <c r="D192" t="s">
        <v>130</v>
      </c>
      <c r="E192" t="s">
        <v>1699</v>
      </c>
      <c r="F192" t="s">
        <v>18</v>
      </c>
      <c r="G192" t="s">
        <v>29</v>
      </c>
      <c r="H192">
        <v>0</v>
      </c>
      <c r="I192">
        <v>100</v>
      </c>
      <c r="J192">
        <v>170</v>
      </c>
      <c r="K192">
        <v>17000</v>
      </c>
      <c r="L192">
        <v>0</v>
      </c>
      <c r="M192">
        <v>17000</v>
      </c>
      <c r="N192" t="s">
        <v>1700</v>
      </c>
      <c r="O192" t="s">
        <v>21</v>
      </c>
    </row>
    <row r="193" spans="1:15" x14ac:dyDescent="0.3">
      <c r="A193" t="str">
        <f t="shared" si="2"/>
        <v>NSNW000917-R000-TS</v>
      </c>
      <c r="B193" t="s">
        <v>14</v>
      </c>
      <c r="C193" t="s">
        <v>1701</v>
      </c>
      <c r="D193" t="s">
        <v>168</v>
      </c>
      <c r="E193" t="s">
        <v>1702</v>
      </c>
      <c r="F193" t="s">
        <v>18</v>
      </c>
      <c r="G193" t="s">
        <v>29</v>
      </c>
      <c r="H193">
        <v>0</v>
      </c>
      <c r="I193">
        <v>1</v>
      </c>
      <c r="J193">
        <v>5550</v>
      </c>
      <c r="K193">
        <v>5550</v>
      </c>
      <c r="L193">
        <v>0</v>
      </c>
      <c r="M193">
        <v>5550</v>
      </c>
      <c r="N193" t="s">
        <v>1703</v>
      </c>
      <c r="O193" t="s">
        <v>21</v>
      </c>
    </row>
    <row r="194" spans="1:15" x14ac:dyDescent="0.3">
      <c r="A194" t="str">
        <f t="shared" si="2"/>
        <v>NSNW000918-R000-TS</v>
      </c>
      <c r="B194" t="s">
        <v>14</v>
      </c>
      <c r="C194" t="s">
        <v>1704</v>
      </c>
      <c r="D194" t="s">
        <v>168</v>
      </c>
      <c r="E194" t="s">
        <v>1705</v>
      </c>
      <c r="F194" t="s">
        <v>18</v>
      </c>
      <c r="G194" t="s">
        <v>29</v>
      </c>
      <c r="H194">
        <v>0</v>
      </c>
      <c r="I194">
        <v>1</v>
      </c>
      <c r="J194">
        <v>10700</v>
      </c>
      <c r="K194">
        <v>10700</v>
      </c>
      <c r="L194">
        <v>0</v>
      </c>
      <c r="M194">
        <v>10700</v>
      </c>
      <c r="N194" t="s">
        <v>1706</v>
      </c>
      <c r="O194" t="s">
        <v>21</v>
      </c>
    </row>
    <row r="195" spans="1:15" x14ac:dyDescent="0.3">
      <c r="A195" t="str">
        <f t="shared" ref="A195:A258" si="3">C195&amp;"-"&amp;D195</f>
        <v>NSNW000995-R000-IIV</v>
      </c>
      <c r="B195" t="s">
        <v>14</v>
      </c>
      <c r="C195" t="s">
        <v>202</v>
      </c>
      <c r="D195" t="s">
        <v>203</v>
      </c>
      <c r="E195" t="s">
        <v>204</v>
      </c>
      <c r="F195" t="s">
        <v>18</v>
      </c>
      <c r="G195" t="s">
        <v>19</v>
      </c>
      <c r="H195">
        <v>0</v>
      </c>
      <c r="I195">
        <v>100</v>
      </c>
      <c r="J195">
        <v>1050</v>
      </c>
      <c r="K195">
        <v>105000</v>
      </c>
      <c r="L195">
        <v>0</v>
      </c>
      <c r="M195">
        <v>105000</v>
      </c>
      <c r="N195" t="s">
        <v>205</v>
      </c>
      <c r="O195" t="s">
        <v>21</v>
      </c>
    </row>
    <row r="196" spans="1:15" x14ac:dyDescent="0.3">
      <c r="A196" t="str">
        <f t="shared" si="3"/>
        <v>NSNW001363-R000-SV</v>
      </c>
      <c r="B196" t="s">
        <v>14</v>
      </c>
      <c r="C196" t="s">
        <v>206</v>
      </c>
      <c r="D196" t="s">
        <v>173</v>
      </c>
      <c r="E196" t="s">
        <v>207</v>
      </c>
      <c r="F196" t="s">
        <v>18</v>
      </c>
      <c r="G196" t="s">
        <v>29</v>
      </c>
      <c r="H196">
        <v>0</v>
      </c>
      <c r="I196">
        <v>280</v>
      </c>
      <c r="J196">
        <v>1860</v>
      </c>
      <c r="K196">
        <v>520800</v>
      </c>
      <c r="L196">
        <v>0</v>
      </c>
      <c r="M196">
        <v>520800</v>
      </c>
      <c r="N196" t="s">
        <v>184</v>
      </c>
      <c r="O196" t="s">
        <v>21</v>
      </c>
    </row>
    <row r="197" spans="1:15" x14ac:dyDescent="0.3">
      <c r="A197" t="str">
        <f t="shared" si="3"/>
        <v>NSNW001363-R000-SV</v>
      </c>
      <c r="B197" t="s">
        <v>14</v>
      </c>
      <c r="C197" t="s">
        <v>206</v>
      </c>
      <c r="D197" t="s">
        <v>173</v>
      </c>
      <c r="E197" t="s">
        <v>207</v>
      </c>
      <c r="F197" t="s">
        <v>18</v>
      </c>
      <c r="G197" t="s">
        <v>23</v>
      </c>
      <c r="H197">
        <v>0</v>
      </c>
      <c r="I197">
        <v>1200</v>
      </c>
      <c r="J197">
        <v>1860</v>
      </c>
      <c r="K197">
        <v>2232000</v>
      </c>
      <c r="L197">
        <v>0</v>
      </c>
      <c r="M197">
        <v>2232000</v>
      </c>
      <c r="N197" t="s">
        <v>184</v>
      </c>
      <c r="O197" t="s">
        <v>21</v>
      </c>
    </row>
    <row r="198" spans="1:15" x14ac:dyDescent="0.3">
      <c r="A198" t="str">
        <f t="shared" si="3"/>
        <v>NSNW001387-R000-SV</v>
      </c>
      <c r="B198" t="s">
        <v>14</v>
      </c>
      <c r="C198" t="s">
        <v>1707</v>
      </c>
      <c r="D198" t="s">
        <v>173</v>
      </c>
      <c r="E198" t="s">
        <v>1708</v>
      </c>
      <c r="F198" t="s">
        <v>18</v>
      </c>
      <c r="G198" t="s">
        <v>22</v>
      </c>
      <c r="H198">
        <v>0</v>
      </c>
      <c r="I198">
        <v>1</v>
      </c>
      <c r="J198">
        <v>1150</v>
      </c>
      <c r="K198">
        <v>1150</v>
      </c>
      <c r="L198">
        <v>0</v>
      </c>
      <c r="M198">
        <v>1150</v>
      </c>
      <c r="N198" t="s">
        <v>1709</v>
      </c>
      <c r="O198" t="s">
        <v>21</v>
      </c>
    </row>
    <row r="199" spans="1:15" x14ac:dyDescent="0.3">
      <c r="A199" t="str">
        <f t="shared" si="3"/>
        <v>NSNW001392-R000-NI</v>
      </c>
      <c r="B199" t="s">
        <v>14</v>
      </c>
      <c r="C199" t="s">
        <v>208</v>
      </c>
      <c r="D199" t="s">
        <v>67</v>
      </c>
      <c r="E199" t="s">
        <v>209</v>
      </c>
      <c r="F199" t="s">
        <v>18</v>
      </c>
      <c r="G199" t="s">
        <v>68</v>
      </c>
      <c r="H199">
        <v>0</v>
      </c>
      <c r="I199">
        <v>10000</v>
      </c>
      <c r="J199">
        <v>73</v>
      </c>
      <c r="K199">
        <v>730000</v>
      </c>
      <c r="L199">
        <v>0</v>
      </c>
      <c r="M199">
        <v>730000</v>
      </c>
      <c r="N199" t="s">
        <v>69</v>
      </c>
      <c r="O199" t="s">
        <v>21</v>
      </c>
    </row>
    <row r="200" spans="1:15" x14ac:dyDescent="0.3">
      <c r="A200" t="str">
        <f t="shared" si="3"/>
        <v>NSNW001392-R000-NI</v>
      </c>
      <c r="B200" t="s">
        <v>14</v>
      </c>
      <c r="C200" t="s">
        <v>208</v>
      </c>
      <c r="D200" t="s">
        <v>67</v>
      </c>
      <c r="E200" t="s">
        <v>209</v>
      </c>
      <c r="F200" t="s">
        <v>18</v>
      </c>
      <c r="G200" t="s">
        <v>210</v>
      </c>
      <c r="H200">
        <v>0</v>
      </c>
      <c r="I200">
        <v>0</v>
      </c>
      <c r="J200">
        <v>74</v>
      </c>
      <c r="K200">
        <v>0</v>
      </c>
      <c r="L200">
        <v>0</v>
      </c>
      <c r="M200">
        <v>0</v>
      </c>
      <c r="N200" t="s">
        <v>69</v>
      </c>
      <c r="O200" t="s">
        <v>21</v>
      </c>
    </row>
    <row r="201" spans="1:15" x14ac:dyDescent="0.3">
      <c r="A201" t="str">
        <f t="shared" si="3"/>
        <v>NSNW001392-R000-NI</v>
      </c>
      <c r="B201" t="s">
        <v>14</v>
      </c>
      <c r="C201" t="s">
        <v>208</v>
      </c>
      <c r="D201" t="s">
        <v>67</v>
      </c>
      <c r="E201" t="s">
        <v>209</v>
      </c>
      <c r="F201" t="s">
        <v>18</v>
      </c>
      <c r="G201" t="s">
        <v>83</v>
      </c>
      <c r="H201">
        <v>0</v>
      </c>
      <c r="I201">
        <v>0</v>
      </c>
      <c r="J201">
        <v>74</v>
      </c>
      <c r="K201">
        <v>0</v>
      </c>
      <c r="L201">
        <v>0</v>
      </c>
      <c r="M201">
        <v>0</v>
      </c>
      <c r="N201" t="s">
        <v>69</v>
      </c>
      <c r="O201" t="s">
        <v>21</v>
      </c>
    </row>
    <row r="202" spans="1:15" x14ac:dyDescent="0.3">
      <c r="A202" t="str">
        <f t="shared" si="3"/>
        <v>NSNW001392-R000-NI</v>
      </c>
      <c r="B202" t="s">
        <v>14</v>
      </c>
      <c r="C202" t="s">
        <v>208</v>
      </c>
      <c r="D202" t="s">
        <v>67</v>
      </c>
      <c r="E202" t="s">
        <v>209</v>
      </c>
      <c r="F202" t="s">
        <v>18</v>
      </c>
      <c r="G202" t="s">
        <v>49</v>
      </c>
      <c r="H202">
        <v>0</v>
      </c>
      <c r="I202">
        <v>66000</v>
      </c>
      <c r="J202">
        <v>73</v>
      </c>
      <c r="K202">
        <v>4818000</v>
      </c>
      <c r="L202">
        <v>0</v>
      </c>
      <c r="M202">
        <v>4818000</v>
      </c>
      <c r="N202" t="s">
        <v>69</v>
      </c>
      <c r="O202" t="s">
        <v>21</v>
      </c>
    </row>
    <row r="203" spans="1:15" x14ac:dyDescent="0.3">
      <c r="A203" t="str">
        <f t="shared" si="3"/>
        <v>NSNW001392-R000-NI</v>
      </c>
      <c r="B203" t="s">
        <v>14</v>
      </c>
      <c r="C203" t="s">
        <v>208</v>
      </c>
      <c r="D203" t="s">
        <v>67</v>
      </c>
      <c r="E203" t="s">
        <v>209</v>
      </c>
      <c r="F203" t="s">
        <v>18</v>
      </c>
      <c r="G203" t="s">
        <v>111</v>
      </c>
      <c r="H203">
        <v>0</v>
      </c>
      <c r="I203">
        <v>6000</v>
      </c>
      <c r="J203">
        <v>73</v>
      </c>
      <c r="K203">
        <v>438000</v>
      </c>
      <c r="L203">
        <v>0</v>
      </c>
      <c r="M203">
        <v>438000</v>
      </c>
      <c r="N203" t="s">
        <v>69</v>
      </c>
      <c r="O203" t="s">
        <v>21</v>
      </c>
    </row>
    <row r="204" spans="1:15" x14ac:dyDescent="0.3">
      <c r="A204" t="str">
        <f t="shared" si="3"/>
        <v>NSNW001392-R000-NI</v>
      </c>
      <c r="B204" t="s">
        <v>14</v>
      </c>
      <c r="C204" t="s">
        <v>208</v>
      </c>
      <c r="D204" t="s">
        <v>67</v>
      </c>
      <c r="E204" t="s">
        <v>209</v>
      </c>
      <c r="F204" t="s">
        <v>18</v>
      </c>
      <c r="G204" t="s">
        <v>83</v>
      </c>
      <c r="H204">
        <v>0</v>
      </c>
      <c r="I204">
        <v>16000</v>
      </c>
      <c r="J204">
        <v>73</v>
      </c>
      <c r="K204">
        <v>1168000</v>
      </c>
      <c r="L204">
        <v>0</v>
      </c>
      <c r="M204">
        <v>1168000</v>
      </c>
      <c r="N204" t="s">
        <v>69</v>
      </c>
      <c r="O204" t="s">
        <v>21</v>
      </c>
    </row>
    <row r="205" spans="1:15" x14ac:dyDescent="0.3">
      <c r="A205" t="str">
        <f t="shared" si="3"/>
        <v>NSNW001392-R000-NI</v>
      </c>
      <c r="B205" t="s">
        <v>14</v>
      </c>
      <c r="C205" t="s">
        <v>208</v>
      </c>
      <c r="D205" t="s">
        <v>67</v>
      </c>
      <c r="E205" t="s">
        <v>209</v>
      </c>
      <c r="F205" t="s">
        <v>18</v>
      </c>
      <c r="G205" t="s">
        <v>19</v>
      </c>
      <c r="H205">
        <v>0</v>
      </c>
      <c r="I205">
        <v>36000</v>
      </c>
      <c r="J205">
        <v>73</v>
      </c>
      <c r="K205">
        <v>2628000</v>
      </c>
      <c r="L205">
        <v>0</v>
      </c>
      <c r="M205">
        <v>2628000</v>
      </c>
      <c r="N205" t="s">
        <v>69</v>
      </c>
      <c r="O205" t="s">
        <v>21</v>
      </c>
    </row>
    <row r="206" spans="1:15" x14ac:dyDescent="0.3">
      <c r="A206" t="str">
        <f t="shared" si="3"/>
        <v>NSNW001392-R000-NI</v>
      </c>
      <c r="B206" t="s">
        <v>14</v>
      </c>
      <c r="C206" t="s">
        <v>208</v>
      </c>
      <c r="D206" t="s">
        <v>67</v>
      </c>
      <c r="E206" t="s">
        <v>209</v>
      </c>
      <c r="F206" t="s">
        <v>18</v>
      </c>
      <c r="G206" t="s">
        <v>35</v>
      </c>
      <c r="H206">
        <v>0</v>
      </c>
      <c r="I206">
        <v>0</v>
      </c>
      <c r="J206">
        <v>74</v>
      </c>
      <c r="K206">
        <v>0</v>
      </c>
      <c r="L206">
        <v>0</v>
      </c>
      <c r="M206">
        <v>0</v>
      </c>
      <c r="N206" t="s">
        <v>69</v>
      </c>
      <c r="O206" t="s">
        <v>21</v>
      </c>
    </row>
    <row r="207" spans="1:15" x14ac:dyDescent="0.3">
      <c r="A207" t="str">
        <f t="shared" si="3"/>
        <v>NSNW001392-R000-NI</v>
      </c>
      <c r="B207" t="s">
        <v>14</v>
      </c>
      <c r="C207" t="s">
        <v>208</v>
      </c>
      <c r="D207" t="s">
        <v>67</v>
      </c>
      <c r="E207" t="s">
        <v>209</v>
      </c>
      <c r="F207" t="s">
        <v>18</v>
      </c>
      <c r="G207" t="s">
        <v>663</v>
      </c>
      <c r="H207">
        <v>0</v>
      </c>
      <c r="I207">
        <v>2000</v>
      </c>
      <c r="J207">
        <v>73</v>
      </c>
      <c r="K207">
        <v>146000</v>
      </c>
      <c r="L207">
        <v>0</v>
      </c>
      <c r="M207">
        <v>146000</v>
      </c>
      <c r="N207" t="s">
        <v>69</v>
      </c>
      <c r="O207" t="s">
        <v>21</v>
      </c>
    </row>
    <row r="208" spans="1:15" x14ac:dyDescent="0.3">
      <c r="A208" t="str">
        <f t="shared" si="3"/>
        <v>NSNW001392-R000-NI</v>
      </c>
      <c r="B208" t="s">
        <v>14</v>
      </c>
      <c r="C208" t="s">
        <v>208</v>
      </c>
      <c r="D208" t="s">
        <v>67</v>
      </c>
      <c r="E208" t="s">
        <v>209</v>
      </c>
      <c r="F208" t="s">
        <v>18</v>
      </c>
      <c r="G208" t="s">
        <v>111</v>
      </c>
      <c r="H208">
        <v>0</v>
      </c>
      <c r="I208">
        <v>0</v>
      </c>
      <c r="J208">
        <v>74</v>
      </c>
      <c r="K208">
        <v>0</v>
      </c>
      <c r="L208">
        <v>0</v>
      </c>
      <c r="M208">
        <v>0</v>
      </c>
      <c r="N208" t="s">
        <v>69</v>
      </c>
      <c r="O208" t="s">
        <v>21</v>
      </c>
    </row>
    <row r="209" spans="1:15" x14ac:dyDescent="0.3">
      <c r="A209" t="str">
        <f t="shared" si="3"/>
        <v>NSNW001392-R000-NI</v>
      </c>
      <c r="B209" t="s">
        <v>14</v>
      </c>
      <c r="C209" t="s">
        <v>208</v>
      </c>
      <c r="D209" t="s">
        <v>67</v>
      </c>
      <c r="E209" t="s">
        <v>209</v>
      </c>
      <c r="F209" t="s">
        <v>18</v>
      </c>
      <c r="G209" t="s">
        <v>49</v>
      </c>
      <c r="H209">
        <v>0</v>
      </c>
      <c r="I209">
        <v>0</v>
      </c>
      <c r="J209">
        <v>74</v>
      </c>
      <c r="K209">
        <v>0</v>
      </c>
      <c r="L209">
        <v>0</v>
      </c>
      <c r="M209">
        <v>0</v>
      </c>
      <c r="N209" t="s">
        <v>69</v>
      </c>
      <c r="O209" t="s">
        <v>21</v>
      </c>
    </row>
    <row r="210" spans="1:15" x14ac:dyDescent="0.3">
      <c r="A210" t="str">
        <f t="shared" si="3"/>
        <v>NSNW001392-R000-NI</v>
      </c>
      <c r="B210" t="s">
        <v>14</v>
      </c>
      <c r="C210" t="s">
        <v>208</v>
      </c>
      <c r="D210" t="s">
        <v>67</v>
      </c>
      <c r="E210" t="s">
        <v>209</v>
      </c>
      <c r="F210" t="s">
        <v>18</v>
      </c>
      <c r="G210" t="s">
        <v>19</v>
      </c>
      <c r="H210">
        <v>0</v>
      </c>
      <c r="I210">
        <v>0</v>
      </c>
      <c r="J210">
        <v>74</v>
      </c>
      <c r="K210">
        <v>0</v>
      </c>
      <c r="L210">
        <v>0</v>
      </c>
      <c r="M210">
        <v>0</v>
      </c>
      <c r="N210" t="s">
        <v>69</v>
      </c>
      <c r="O210" t="s">
        <v>21</v>
      </c>
    </row>
    <row r="211" spans="1:15" x14ac:dyDescent="0.3">
      <c r="A211" t="str">
        <f t="shared" si="3"/>
        <v>NSNW001392-R000-NI</v>
      </c>
      <c r="B211" t="s">
        <v>14</v>
      </c>
      <c r="C211" t="s">
        <v>208</v>
      </c>
      <c r="D211" t="s">
        <v>67</v>
      </c>
      <c r="E211" t="s">
        <v>209</v>
      </c>
      <c r="F211" t="s">
        <v>18</v>
      </c>
      <c r="G211" t="s">
        <v>35</v>
      </c>
      <c r="H211">
        <v>0</v>
      </c>
      <c r="I211">
        <v>20000</v>
      </c>
      <c r="J211">
        <v>73</v>
      </c>
      <c r="K211">
        <v>1460000</v>
      </c>
      <c r="L211">
        <v>0</v>
      </c>
      <c r="M211">
        <v>1460000</v>
      </c>
      <c r="N211" t="s">
        <v>69</v>
      </c>
      <c r="O211" t="s">
        <v>21</v>
      </c>
    </row>
    <row r="212" spans="1:15" x14ac:dyDescent="0.3">
      <c r="A212" t="str">
        <f t="shared" si="3"/>
        <v>NSNW001392-R000-NI</v>
      </c>
      <c r="B212" t="s">
        <v>14</v>
      </c>
      <c r="C212" t="s">
        <v>208</v>
      </c>
      <c r="D212" t="s">
        <v>67</v>
      </c>
      <c r="E212" t="s">
        <v>209</v>
      </c>
      <c r="F212" t="s">
        <v>18</v>
      </c>
      <c r="G212" t="s">
        <v>210</v>
      </c>
      <c r="H212">
        <v>0</v>
      </c>
      <c r="I212">
        <v>24000</v>
      </c>
      <c r="J212">
        <v>73</v>
      </c>
      <c r="K212">
        <v>1752000</v>
      </c>
      <c r="L212">
        <v>0</v>
      </c>
      <c r="M212">
        <v>1752000</v>
      </c>
      <c r="N212" t="s">
        <v>69</v>
      </c>
      <c r="O212" t="s">
        <v>21</v>
      </c>
    </row>
    <row r="213" spans="1:15" x14ac:dyDescent="0.3">
      <c r="A213" t="str">
        <f t="shared" si="3"/>
        <v>NSNW001393-R000-XX</v>
      </c>
      <c r="B213" t="s">
        <v>14</v>
      </c>
      <c r="C213" t="s">
        <v>211</v>
      </c>
      <c r="D213" t="s">
        <v>16</v>
      </c>
      <c r="E213" t="s">
        <v>212</v>
      </c>
      <c r="F213" t="s">
        <v>18</v>
      </c>
      <c r="G213" t="s">
        <v>210</v>
      </c>
      <c r="H213">
        <v>0</v>
      </c>
      <c r="I213">
        <v>0</v>
      </c>
      <c r="J213">
        <v>59</v>
      </c>
      <c r="K213">
        <v>0</v>
      </c>
      <c r="L213">
        <v>0</v>
      </c>
      <c r="M213">
        <v>0</v>
      </c>
      <c r="N213" t="s">
        <v>69</v>
      </c>
      <c r="O213" t="s">
        <v>21</v>
      </c>
    </row>
    <row r="214" spans="1:15" x14ac:dyDescent="0.3">
      <c r="A214" t="str">
        <f t="shared" si="3"/>
        <v>NSNW001393-R000-XX</v>
      </c>
      <c r="B214" t="s">
        <v>14</v>
      </c>
      <c r="C214" t="s">
        <v>211</v>
      </c>
      <c r="D214" t="s">
        <v>16</v>
      </c>
      <c r="E214" t="s">
        <v>212</v>
      </c>
      <c r="F214" t="s">
        <v>18</v>
      </c>
      <c r="G214" t="s">
        <v>111</v>
      </c>
      <c r="H214">
        <v>0</v>
      </c>
      <c r="I214">
        <v>6000</v>
      </c>
      <c r="J214">
        <v>58</v>
      </c>
      <c r="K214">
        <v>348000</v>
      </c>
      <c r="L214">
        <v>0</v>
      </c>
      <c r="M214">
        <v>348000</v>
      </c>
      <c r="N214" t="s">
        <v>69</v>
      </c>
      <c r="O214" t="s">
        <v>21</v>
      </c>
    </row>
    <row r="215" spans="1:15" x14ac:dyDescent="0.3">
      <c r="A215" t="str">
        <f t="shared" si="3"/>
        <v>NSNW001393-R000-XX</v>
      </c>
      <c r="B215" t="s">
        <v>14</v>
      </c>
      <c r="C215" t="s">
        <v>211</v>
      </c>
      <c r="D215" t="s">
        <v>16</v>
      </c>
      <c r="E215" t="s">
        <v>212</v>
      </c>
      <c r="F215" t="s">
        <v>18</v>
      </c>
      <c r="G215" t="s">
        <v>35</v>
      </c>
      <c r="H215">
        <v>0</v>
      </c>
      <c r="I215">
        <v>20000</v>
      </c>
      <c r="J215">
        <v>58</v>
      </c>
      <c r="K215">
        <v>1160000</v>
      </c>
      <c r="L215">
        <v>0</v>
      </c>
      <c r="M215">
        <v>1160000</v>
      </c>
      <c r="N215" t="s">
        <v>69</v>
      </c>
      <c r="O215" t="s">
        <v>21</v>
      </c>
    </row>
    <row r="216" spans="1:15" x14ac:dyDescent="0.3">
      <c r="A216" t="str">
        <f t="shared" si="3"/>
        <v>NSNW001393-R000-XX</v>
      </c>
      <c r="B216" t="s">
        <v>14</v>
      </c>
      <c r="C216" t="s">
        <v>211</v>
      </c>
      <c r="D216" t="s">
        <v>16</v>
      </c>
      <c r="E216" t="s">
        <v>212</v>
      </c>
      <c r="F216" t="s">
        <v>18</v>
      </c>
      <c r="G216" t="s">
        <v>19</v>
      </c>
      <c r="H216">
        <v>0</v>
      </c>
      <c r="I216">
        <v>0</v>
      </c>
      <c r="J216">
        <v>59</v>
      </c>
      <c r="K216">
        <v>0</v>
      </c>
      <c r="L216">
        <v>0</v>
      </c>
      <c r="M216">
        <v>0</v>
      </c>
      <c r="N216" t="s">
        <v>69</v>
      </c>
      <c r="O216" t="s">
        <v>21</v>
      </c>
    </row>
    <row r="217" spans="1:15" x14ac:dyDescent="0.3">
      <c r="A217" t="str">
        <f t="shared" si="3"/>
        <v>NSNW001393-R000-XX</v>
      </c>
      <c r="B217" t="s">
        <v>14</v>
      </c>
      <c r="C217" t="s">
        <v>211</v>
      </c>
      <c r="D217" t="s">
        <v>16</v>
      </c>
      <c r="E217" t="s">
        <v>212</v>
      </c>
      <c r="F217" t="s">
        <v>18</v>
      </c>
      <c r="G217" t="s">
        <v>83</v>
      </c>
      <c r="H217">
        <v>0</v>
      </c>
      <c r="I217">
        <v>16000</v>
      </c>
      <c r="J217">
        <v>58</v>
      </c>
      <c r="K217">
        <v>928000</v>
      </c>
      <c r="L217">
        <v>0</v>
      </c>
      <c r="M217">
        <v>928000</v>
      </c>
      <c r="N217" t="s">
        <v>69</v>
      </c>
      <c r="O217" t="s">
        <v>21</v>
      </c>
    </row>
    <row r="218" spans="1:15" x14ac:dyDescent="0.3">
      <c r="A218" t="str">
        <f t="shared" si="3"/>
        <v>NSNW001393-R000-XX</v>
      </c>
      <c r="B218" t="s">
        <v>14</v>
      </c>
      <c r="C218" t="s">
        <v>211</v>
      </c>
      <c r="D218" t="s">
        <v>16</v>
      </c>
      <c r="E218" t="s">
        <v>212</v>
      </c>
      <c r="F218" t="s">
        <v>18</v>
      </c>
      <c r="G218" t="s">
        <v>83</v>
      </c>
      <c r="H218">
        <v>0</v>
      </c>
      <c r="I218">
        <v>0</v>
      </c>
      <c r="J218">
        <v>59</v>
      </c>
      <c r="K218">
        <v>0</v>
      </c>
      <c r="L218">
        <v>0</v>
      </c>
      <c r="M218">
        <v>0</v>
      </c>
      <c r="N218" t="s">
        <v>69</v>
      </c>
      <c r="O218" t="s">
        <v>21</v>
      </c>
    </row>
    <row r="219" spans="1:15" x14ac:dyDescent="0.3">
      <c r="A219" t="str">
        <f t="shared" si="3"/>
        <v>NSNW001393-R000-XX</v>
      </c>
      <c r="B219" t="s">
        <v>14</v>
      </c>
      <c r="C219" t="s">
        <v>211</v>
      </c>
      <c r="D219" t="s">
        <v>16</v>
      </c>
      <c r="E219" t="s">
        <v>212</v>
      </c>
      <c r="F219" t="s">
        <v>18</v>
      </c>
      <c r="G219" t="s">
        <v>68</v>
      </c>
      <c r="H219">
        <v>0</v>
      </c>
      <c r="I219">
        <v>10000</v>
      </c>
      <c r="J219">
        <v>58</v>
      </c>
      <c r="K219">
        <v>580000</v>
      </c>
      <c r="L219">
        <v>0</v>
      </c>
      <c r="M219">
        <v>580000</v>
      </c>
      <c r="N219" t="s">
        <v>69</v>
      </c>
      <c r="O219" t="s">
        <v>21</v>
      </c>
    </row>
    <row r="220" spans="1:15" x14ac:dyDescent="0.3">
      <c r="A220" t="str">
        <f t="shared" si="3"/>
        <v>NSNW001393-R000-XX</v>
      </c>
      <c r="B220" t="s">
        <v>14</v>
      </c>
      <c r="C220" t="s">
        <v>211</v>
      </c>
      <c r="D220" t="s">
        <v>16</v>
      </c>
      <c r="E220" t="s">
        <v>212</v>
      </c>
      <c r="F220" t="s">
        <v>18</v>
      </c>
      <c r="G220" t="s">
        <v>49</v>
      </c>
      <c r="H220">
        <v>0</v>
      </c>
      <c r="I220">
        <v>70000</v>
      </c>
      <c r="J220">
        <v>58</v>
      </c>
      <c r="K220">
        <v>4060000</v>
      </c>
      <c r="L220">
        <v>0</v>
      </c>
      <c r="M220">
        <v>4060000</v>
      </c>
      <c r="N220" t="s">
        <v>69</v>
      </c>
      <c r="O220" t="s">
        <v>21</v>
      </c>
    </row>
    <row r="221" spans="1:15" x14ac:dyDescent="0.3">
      <c r="A221" t="str">
        <f t="shared" si="3"/>
        <v>NSNW001393-R000-XX</v>
      </c>
      <c r="B221" t="s">
        <v>14</v>
      </c>
      <c r="C221" t="s">
        <v>211</v>
      </c>
      <c r="D221" t="s">
        <v>16</v>
      </c>
      <c r="E221" t="s">
        <v>212</v>
      </c>
      <c r="F221" t="s">
        <v>18</v>
      </c>
      <c r="G221" t="s">
        <v>35</v>
      </c>
      <c r="H221">
        <v>0</v>
      </c>
      <c r="I221">
        <v>0</v>
      </c>
      <c r="J221">
        <v>59</v>
      </c>
      <c r="K221">
        <v>0</v>
      </c>
      <c r="L221">
        <v>0</v>
      </c>
      <c r="M221">
        <v>0</v>
      </c>
      <c r="N221" t="s">
        <v>69</v>
      </c>
      <c r="O221" t="s">
        <v>21</v>
      </c>
    </row>
    <row r="222" spans="1:15" x14ac:dyDescent="0.3">
      <c r="A222" t="str">
        <f t="shared" si="3"/>
        <v>NSNW001393-R000-XX</v>
      </c>
      <c r="B222" t="s">
        <v>14</v>
      </c>
      <c r="C222" t="s">
        <v>211</v>
      </c>
      <c r="D222" t="s">
        <v>16</v>
      </c>
      <c r="E222" t="s">
        <v>212</v>
      </c>
      <c r="F222" t="s">
        <v>18</v>
      </c>
      <c r="G222" t="s">
        <v>663</v>
      </c>
      <c r="H222">
        <v>0</v>
      </c>
      <c r="I222">
        <v>2000</v>
      </c>
      <c r="J222">
        <v>58</v>
      </c>
      <c r="K222">
        <v>116000</v>
      </c>
      <c r="L222">
        <v>0</v>
      </c>
      <c r="M222">
        <v>116000</v>
      </c>
      <c r="N222" t="s">
        <v>69</v>
      </c>
      <c r="O222" t="s">
        <v>21</v>
      </c>
    </row>
    <row r="223" spans="1:15" x14ac:dyDescent="0.3">
      <c r="A223" t="str">
        <f t="shared" si="3"/>
        <v>NSNW001393-R000-XX</v>
      </c>
      <c r="B223" t="s">
        <v>14</v>
      </c>
      <c r="C223" t="s">
        <v>211</v>
      </c>
      <c r="D223" t="s">
        <v>16</v>
      </c>
      <c r="E223" t="s">
        <v>212</v>
      </c>
      <c r="F223" t="s">
        <v>18</v>
      </c>
      <c r="G223" t="s">
        <v>111</v>
      </c>
      <c r="H223">
        <v>0</v>
      </c>
      <c r="I223">
        <v>0</v>
      </c>
      <c r="J223">
        <v>59</v>
      </c>
      <c r="K223">
        <v>0</v>
      </c>
      <c r="L223">
        <v>0</v>
      </c>
      <c r="M223">
        <v>0</v>
      </c>
      <c r="N223" t="s">
        <v>69</v>
      </c>
      <c r="O223" t="s">
        <v>21</v>
      </c>
    </row>
    <row r="224" spans="1:15" x14ac:dyDescent="0.3">
      <c r="A224" t="str">
        <f t="shared" si="3"/>
        <v>NSNW001393-R000-XX</v>
      </c>
      <c r="B224" t="s">
        <v>14</v>
      </c>
      <c r="C224" t="s">
        <v>211</v>
      </c>
      <c r="D224" t="s">
        <v>16</v>
      </c>
      <c r="E224" t="s">
        <v>212</v>
      </c>
      <c r="F224" t="s">
        <v>18</v>
      </c>
      <c r="G224" t="s">
        <v>19</v>
      </c>
      <c r="H224">
        <v>0</v>
      </c>
      <c r="I224">
        <v>36000</v>
      </c>
      <c r="J224">
        <v>58</v>
      </c>
      <c r="K224">
        <v>2088000</v>
      </c>
      <c r="L224">
        <v>0</v>
      </c>
      <c r="M224">
        <v>2088000</v>
      </c>
      <c r="N224" t="s">
        <v>69</v>
      </c>
      <c r="O224" t="s">
        <v>21</v>
      </c>
    </row>
    <row r="225" spans="1:15" x14ac:dyDescent="0.3">
      <c r="A225" t="str">
        <f t="shared" si="3"/>
        <v>NSNW001393-R000-XX</v>
      </c>
      <c r="B225" t="s">
        <v>14</v>
      </c>
      <c r="C225" t="s">
        <v>211</v>
      </c>
      <c r="D225" t="s">
        <v>16</v>
      </c>
      <c r="E225" t="s">
        <v>212</v>
      </c>
      <c r="F225" t="s">
        <v>18</v>
      </c>
      <c r="G225" t="s">
        <v>49</v>
      </c>
      <c r="H225">
        <v>0</v>
      </c>
      <c r="I225">
        <v>0</v>
      </c>
      <c r="J225">
        <v>59</v>
      </c>
      <c r="K225">
        <v>0</v>
      </c>
      <c r="L225">
        <v>0</v>
      </c>
      <c r="M225">
        <v>0</v>
      </c>
      <c r="N225" t="s">
        <v>69</v>
      </c>
      <c r="O225" t="s">
        <v>21</v>
      </c>
    </row>
    <row r="226" spans="1:15" x14ac:dyDescent="0.3">
      <c r="A226" t="str">
        <f t="shared" si="3"/>
        <v>NSNW001393-R000-XX</v>
      </c>
      <c r="B226" t="s">
        <v>14</v>
      </c>
      <c r="C226" t="s">
        <v>211</v>
      </c>
      <c r="D226" t="s">
        <v>16</v>
      </c>
      <c r="E226" t="s">
        <v>212</v>
      </c>
      <c r="F226" t="s">
        <v>18</v>
      </c>
      <c r="G226" t="s">
        <v>210</v>
      </c>
      <c r="H226">
        <v>0</v>
      </c>
      <c r="I226">
        <v>24000</v>
      </c>
      <c r="J226">
        <v>58</v>
      </c>
      <c r="K226">
        <v>1392000</v>
      </c>
      <c r="L226">
        <v>0</v>
      </c>
      <c r="M226">
        <v>1392000</v>
      </c>
      <c r="N226" t="s">
        <v>69</v>
      </c>
      <c r="O226" t="s">
        <v>21</v>
      </c>
    </row>
    <row r="227" spans="1:15" x14ac:dyDescent="0.3">
      <c r="A227" t="str">
        <f t="shared" si="3"/>
        <v>NSNW001838-R000-XX</v>
      </c>
      <c r="B227" t="s">
        <v>14</v>
      </c>
      <c r="C227" t="s">
        <v>1710</v>
      </c>
      <c r="D227" t="s">
        <v>16</v>
      </c>
      <c r="E227" t="s">
        <v>605</v>
      </c>
      <c r="F227" t="s">
        <v>18</v>
      </c>
      <c r="G227" t="s">
        <v>49</v>
      </c>
      <c r="H227">
        <v>0</v>
      </c>
      <c r="I227">
        <v>100</v>
      </c>
      <c r="J227">
        <v>4410</v>
      </c>
      <c r="K227">
        <v>441000</v>
      </c>
      <c r="L227">
        <v>0</v>
      </c>
      <c r="M227">
        <v>441000</v>
      </c>
      <c r="N227" t="s">
        <v>606</v>
      </c>
      <c r="O227" t="s">
        <v>21</v>
      </c>
    </row>
    <row r="228" spans="1:15" x14ac:dyDescent="0.3">
      <c r="A228" t="str">
        <f t="shared" si="3"/>
        <v>NSTGJJ0000182-BK</v>
      </c>
      <c r="B228" t="s">
        <v>14</v>
      </c>
      <c r="C228" t="s">
        <v>1505</v>
      </c>
      <c r="D228" t="s">
        <v>31</v>
      </c>
      <c r="E228" t="s">
        <v>1506</v>
      </c>
      <c r="F228" t="s">
        <v>18</v>
      </c>
      <c r="G228" t="s">
        <v>35</v>
      </c>
      <c r="H228">
        <v>0</v>
      </c>
      <c r="I228">
        <v>500</v>
      </c>
      <c r="J228">
        <v>3610</v>
      </c>
      <c r="K228">
        <v>1805000</v>
      </c>
      <c r="L228">
        <v>0</v>
      </c>
      <c r="M228">
        <v>1805000</v>
      </c>
      <c r="N228" t="s">
        <v>1507</v>
      </c>
      <c r="O228" t="s">
        <v>21</v>
      </c>
    </row>
    <row r="229" spans="1:15" x14ac:dyDescent="0.3">
      <c r="A229" t="str">
        <f t="shared" si="3"/>
        <v>OPPW001611-R000-CGYM</v>
      </c>
      <c r="B229" t="s">
        <v>14</v>
      </c>
      <c r="C229" t="s">
        <v>213</v>
      </c>
      <c r="D229" t="s">
        <v>921</v>
      </c>
      <c r="E229" t="s">
        <v>1711</v>
      </c>
      <c r="F229" t="s">
        <v>18</v>
      </c>
      <c r="G229" t="s">
        <v>49</v>
      </c>
      <c r="H229">
        <v>0</v>
      </c>
      <c r="I229">
        <v>400</v>
      </c>
      <c r="J229">
        <v>330</v>
      </c>
      <c r="K229">
        <v>132000</v>
      </c>
      <c r="L229">
        <v>0</v>
      </c>
      <c r="M229">
        <v>132000</v>
      </c>
      <c r="N229" t="s">
        <v>222</v>
      </c>
      <c r="O229" t="s">
        <v>21</v>
      </c>
    </row>
    <row r="230" spans="1:15" x14ac:dyDescent="0.3">
      <c r="A230" t="str">
        <f t="shared" si="3"/>
        <v>OPPW001611-R000-GU</v>
      </c>
      <c r="B230" t="s">
        <v>14</v>
      </c>
      <c r="C230" t="s">
        <v>213</v>
      </c>
      <c r="D230" t="s">
        <v>274</v>
      </c>
      <c r="E230" t="s">
        <v>1712</v>
      </c>
      <c r="F230" t="s">
        <v>18</v>
      </c>
      <c r="G230" t="s">
        <v>284</v>
      </c>
      <c r="H230">
        <v>0</v>
      </c>
      <c r="I230">
        <v>300</v>
      </c>
      <c r="J230">
        <v>330</v>
      </c>
      <c r="K230">
        <v>99000</v>
      </c>
      <c r="L230">
        <v>0</v>
      </c>
      <c r="M230">
        <v>99000</v>
      </c>
      <c r="N230" t="s">
        <v>1713</v>
      </c>
      <c r="O230" t="s">
        <v>21</v>
      </c>
    </row>
    <row r="231" spans="1:15" x14ac:dyDescent="0.3">
      <c r="A231" t="str">
        <f t="shared" si="3"/>
        <v>OPPW001611-R000-IV</v>
      </c>
      <c r="B231" t="s">
        <v>14</v>
      </c>
      <c r="C231" t="s">
        <v>213</v>
      </c>
      <c r="D231" t="s">
        <v>214</v>
      </c>
      <c r="E231" t="s">
        <v>215</v>
      </c>
      <c r="F231" t="s">
        <v>18</v>
      </c>
      <c r="G231" t="s">
        <v>35</v>
      </c>
      <c r="H231">
        <v>0</v>
      </c>
      <c r="I231">
        <v>1200</v>
      </c>
      <c r="J231">
        <v>310</v>
      </c>
      <c r="K231">
        <v>372000</v>
      </c>
      <c r="L231">
        <v>0</v>
      </c>
      <c r="M231">
        <v>372000</v>
      </c>
      <c r="N231" t="s">
        <v>216</v>
      </c>
      <c r="O231" t="s">
        <v>21</v>
      </c>
    </row>
    <row r="232" spans="1:15" x14ac:dyDescent="0.3">
      <c r="A232" t="str">
        <f t="shared" si="3"/>
        <v>OPPW001611-R000-IV</v>
      </c>
      <c r="B232" t="s">
        <v>14</v>
      </c>
      <c r="C232" t="s">
        <v>213</v>
      </c>
      <c r="D232" t="s">
        <v>214</v>
      </c>
      <c r="E232" t="s">
        <v>215</v>
      </c>
      <c r="F232" t="s">
        <v>18</v>
      </c>
      <c r="G232" t="s">
        <v>23</v>
      </c>
      <c r="H232">
        <v>0</v>
      </c>
      <c r="I232">
        <v>2900</v>
      </c>
      <c r="J232">
        <v>310</v>
      </c>
      <c r="K232">
        <v>899000</v>
      </c>
      <c r="L232">
        <v>0</v>
      </c>
      <c r="M232">
        <v>899000</v>
      </c>
      <c r="N232" t="s">
        <v>216</v>
      </c>
      <c r="O232" t="s">
        <v>21</v>
      </c>
    </row>
    <row r="233" spans="1:15" x14ac:dyDescent="0.3">
      <c r="A233" t="str">
        <f t="shared" si="3"/>
        <v>OPPW001611-R000-IV</v>
      </c>
      <c r="B233" t="s">
        <v>14</v>
      </c>
      <c r="C233" t="s">
        <v>213</v>
      </c>
      <c r="D233" t="s">
        <v>214</v>
      </c>
      <c r="E233" t="s">
        <v>215</v>
      </c>
      <c r="F233" t="s">
        <v>18</v>
      </c>
      <c r="G233" t="s">
        <v>19</v>
      </c>
      <c r="H233">
        <v>0</v>
      </c>
      <c r="I233">
        <v>5000</v>
      </c>
      <c r="J233">
        <v>310</v>
      </c>
      <c r="K233">
        <v>1550000</v>
      </c>
      <c r="L233">
        <v>0</v>
      </c>
      <c r="M233">
        <v>1550000</v>
      </c>
      <c r="N233" t="s">
        <v>216</v>
      </c>
      <c r="O233" t="s">
        <v>21</v>
      </c>
    </row>
    <row r="234" spans="1:15" x14ac:dyDescent="0.3">
      <c r="A234" t="str">
        <f t="shared" si="3"/>
        <v>OPPW001611-R000-IV</v>
      </c>
      <c r="B234" t="s">
        <v>14</v>
      </c>
      <c r="C234" t="s">
        <v>213</v>
      </c>
      <c r="D234" t="s">
        <v>214</v>
      </c>
      <c r="E234" t="s">
        <v>215</v>
      </c>
      <c r="F234" t="s">
        <v>18</v>
      </c>
      <c r="G234" t="s">
        <v>49</v>
      </c>
      <c r="H234">
        <v>0</v>
      </c>
      <c r="I234">
        <v>31200</v>
      </c>
      <c r="J234">
        <v>310</v>
      </c>
      <c r="K234">
        <v>9672000</v>
      </c>
      <c r="L234">
        <v>0</v>
      </c>
      <c r="M234">
        <v>9672000</v>
      </c>
      <c r="N234" t="s">
        <v>216</v>
      </c>
      <c r="O234" t="s">
        <v>21</v>
      </c>
    </row>
    <row r="235" spans="1:15" x14ac:dyDescent="0.3">
      <c r="A235" t="str">
        <f t="shared" si="3"/>
        <v>OPPW001611-R000-IV</v>
      </c>
      <c r="B235" t="s">
        <v>14</v>
      </c>
      <c r="C235" t="s">
        <v>213</v>
      </c>
      <c r="D235" t="s">
        <v>214</v>
      </c>
      <c r="E235" t="s">
        <v>215</v>
      </c>
      <c r="F235" t="s">
        <v>18</v>
      </c>
      <c r="G235" t="s">
        <v>63</v>
      </c>
      <c r="H235">
        <v>0</v>
      </c>
      <c r="I235">
        <v>300</v>
      </c>
      <c r="J235">
        <v>310</v>
      </c>
      <c r="K235">
        <v>93000</v>
      </c>
      <c r="L235">
        <v>0</v>
      </c>
      <c r="M235">
        <v>93000</v>
      </c>
      <c r="N235" t="s">
        <v>216</v>
      </c>
      <c r="O235" t="s">
        <v>21</v>
      </c>
    </row>
    <row r="236" spans="1:15" x14ac:dyDescent="0.3">
      <c r="A236" t="str">
        <f t="shared" si="3"/>
        <v>OPPW001611-R000-IV</v>
      </c>
      <c r="B236" t="s">
        <v>14</v>
      </c>
      <c r="C236" t="s">
        <v>213</v>
      </c>
      <c r="D236" t="s">
        <v>214</v>
      </c>
      <c r="E236" t="s">
        <v>215</v>
      </c>
      <c r="F236" t="s">
        <v>18</v>
      </c>
      <c r="G236" t="s">
        <v>111</v>
      </c>
      <c r="H236">
        <v>0</v>
      </c>
      <c r="I236">
        <v>800</v>
      </c>
      <c r="J236">
        <v>310</v>
      </c>
      <c r="K236">
        <v>248000</v>
      </c>
      <c r="L236">
        <v>0</v>
      </c>
      <c r="M236">
        <v>248000</v>
      </c>
      <c r="N236" t="s">
        <v>216</v>
      </c>
      <c r="O236" t="s">
        <v>21</v>
      </c>
    </row>
    <row r="237" spans="1:15" x14ac:dyDescent="0.3">
      <c r="A237" t="str">
        <f t="shared" si="3"/>
        <v>OPPW001611-R000-IV</v>
      </c>
      <c r="B237" t="s">
        <v>14</v>
      </c>
      <c r="C237" t="s">
        <v>213</v>
      </c>
      <c r="D237" t="s">
        <v>214</v>
      </c>
      <c r="E237" t="s">
        <v>215</v>
      </c>
      <c r="F237" t="s">
        <v>18</v>
      </c>
      <c r="G237" t="s">
        <v>26</v>
      </c>
      <c r="H237">
        <v>0</v>
      </c>
      <c r="I237">
        <v>2200</v>
      </c>
      <c r="J237">
        <v>310</v>
      </c>
      <c r="K237">
        <v>682000</v>
      </c>
      <c r="L237">
        <v>0</v>
      </c>
      <c r="M237">
        <v>682000</v>
      </c>
      <c r="N237" t="s">
        <v>216</v>
      </c>
      <c r="O237" t="s">
        <v>21</v>
      </c>
    </row>
    <row r="238" spans="1:15" x14ac:dyDescent="0.3">
      <c r="A238" t="str">
        <f t="shared" si="3"/>
        <v>OPPW001611-R000-IV</v>
      </c>
      <c r="B238" t="s">
        <v>14</v>
      </c>
      <c r="C238" t="s">
        <v>213</v>
      </c>
      <c r="D238" t="s">
        <v>214</v>
      </c>
      <c r="E238" t="s">
        <v>215</v>
      </c>
      <c r="F238" t="s">
        <v>18</v>
      </c>
      <c r="G238" t="s">
        <v>174</v>
      </c>
      <c r="H238">
        <v>0</v>
      </c>
      <c r="I238">
        <v>4000</v>
      </c>
      <c r="J238">
        <v>310</v>
      </c>
      <c r="K238">
        <v>1240000</v>
      </c>
      <c r="L238">
        <v>0</v>
      </c>
      <c r="M238">
        <v>1240000</v>
      </c>
      <c r="N238" t="s">
        <v>216</v>
      </c>
      <c r="O238" t="s">
        <v>21</v>
      </c>
    </row>
    <row r="239" spans="1:15" x14ac:dyDescent="0.3">
      <c r="A239" t="str">
        <f t="shared" si="3"/>
        <v>OPPW001611-R000-IV</v>
      </c>
      <c r="B239" t="s">
        <v>14</v>
      </c>
      <c r="C239" t="s">
        <v>213</v>
      </c>
      <c r="D239" t="s">
        <v>214</v>
      </c>
      <c r="E239" t="s">
        <v>215</v>
      </c>
      <c r="F239" t="s">
        <v>18</v>
      </c>
      <c r="G239" t="s">
        <v>83</v>
      </c>
      <c r="H239">
        <v>0</v>
      </c>
      <c r="I239">
        <v>2700</v>
      </c>
      <c r="J239">
        <v>310</v>
      </c>
      <c r="K239">
        <v>837000</v>
      </c>
      <c r="L239">
        <v>0</v>
      </c>
      <c r="M239">
        <v>837000</v>
      </c>
      <c r="N239" t="s">
        <v>216</v>
      </c>
      <c r="O239" t="s">
        <v>21</v>
      </c>
    </row>
    <row r="240" spans="1:15" x14ac:dyDescent="0.3">
      <c r="A240" t="str">
        <f t="shared" si="3"/>
        <v>OPPW001611-R000-LT</v>
      </c>
      <c r="B240" t="s">
        <v>14</v>
      </c>
      <c r="C240" t="s">
        <v>213</v>
      </c>
      <c r="D240" t="s">
        <v>217</v>
      </c>
      <c r="E240" t="s">
        <v>218</v>
      </c>
      <c r="F240" t="s">
        <v>18</v>
      </c>
      <c r="G240" t="s">
        <v>23</v>
      </c>
      <c r="H240">
        <v>0</v>
      </c>
      <c r="I240">
        <v>1500</v>
      </c>
      <c r="J240">
        <v>330</v>
      </c>
      <c r="K240">
        <v>495000</v>
      </c>
      <c r="L240">
        <v>0</v>
      </c>
      <c r="M240">
        <v>495000</v>
      </c>
      <c r="N240" t="s">
        <v>219</v>
      </c>
      <c r="O240" t="s">
        <v>21</v>
      </c>
    </row>
    <row r="241" spans="1:15" x14ac:dyDescent="0.3">
      <c r="A241" t="str">
        <f t="shared" si="3"/>
        <v>OPPW001611-R000-LUW</v>
      </c>
      <c r="B241" t="s">
        <v>14</v>
      </c>
      <c r="C241" t="s">
        <v>213</v>
      </c>
      <c r="D241" t="s">
        <v>759</v>
      </c>
      <c r="E241" t="s">
        <v>1714</v>
      </c>
      <c r="F241" t="s">
        <v>18</v>
      </c>
      <c r="G241" t="s">
        <v>83</v>
      </c>
      <c r="H241">
        <v>0</v>
      </c>
      <c r="I241">
        <v>300</v>
      </c>
      <c r="J241">
        <v>330</v>
      </c>
      <c r="K241">
        <v>99000</v>
      </c>
      <c r="L241">
        <v>0</v>
      </c>
      <c r="M241">
        <v>99000</v>
      </c>
      <c r="N241" t="s">
        <v>1715</v>
      </c>
      <c r="O241" t="s">
        <v>21</v>
      </c>
    </row>
    <row r="242" spans="1:15" x14ac:dyDescent="0.3">
      <c r="A242" t="str">
        <f t="shared" si="3"/>
        <v>OPPW001611-R000-NCC</v>
      </c>
      <c r="B242" t="s">
        <v>14</v>
      </c>
      <c r="C242" t="s">
        <v>213</v>
      </c>
      <c r="D242" t="s">
        <v>220</v>
      </c>
      <c r="E242" t="s">
        <v>221</v>
      </c>
      <c r="F242" t="s">
        <v>18</v>
      </c>
      <c r="G242" t="s">
        <v>111</v>
      </c>
      <c r="H242">
        <v>0</v>
      </c>
      <c r="I242">
        <v>400</v>
      </c>
      <c r="J242">
        <v>330</v>
      </c>
      <c r="K242">
        <v>132000</v>
      </c>
      <c r="L242">
        <v>0</v>
      </c>
      <c r="M242">
        <v>132000</v>
      </c>
      <c r="N242" t="s">
        <v>222</v>
      </c>
      <c r="O242" t="s">
        <v>21</v>
      </c>
    </row>
    <row r="243" spans="1:15" x14ac:dyDescent="0.3">
      <c r="A243" t="str">
        <f t="shared" si="3"/>
        <v>OPPW001611-R000-RCN</v>
      </c>
      <c r="B243" t="s">
        <v>14</v>
      </c>
      <c r="C243" t="s">
        <v>213</v>
      </c>
      <c r="D243" t="s">
        <v>253</v>
      </c>
      <c r="E243" t="s">
        <v>1716</v>
      </c>
      <c r="F243" t="s">
        <v>18</v>
      </c>
      <c r="G243" t="s">
        <v>83</v>
      </c>
      <c r="H243">
        <v>0</v>
      </c>
      <c r="I243">
        <v>700</v>
      </c>
      <c r="J243">
        <v>330</v>
      </c>
      <c r="K243">
        <v>231000</v>
      </c>
      <c r="L243">
        <v>0</v>
      </c>
      <c r="M243">
        <v>231000</v>
      </c>
      <c r="N243" t="s">
        <v>222</v>
      </c>
      <c r="O243" t="s">
        <v>21</v>
      </c>
    </row>
    <row r="244" spans="1:15" x14ac:dyDescent="0.3">
      <c r="A244" t="str">
        <f t="shared" si="3"/>
        <v>OPPW001611-R000-SP</v>
      </c>
      <c r="B244" t="s">
        <v>14</v>
      </c>
      <c r="C244" t="s">
        <v>213</v>
      </c>
      <c r="D244" t="s">
        <v>201</v>
      </c>
      <c r="E244" t="s">
        <v>225</v>
      </c>
      <c r="F244" t="s">
        <v>18</v>
      </c>
      <c r="G244" t="s">
        <v>83</v>
      </c>
      <c r="H244">
        <v>0</v>
      </c>
      <c r="I244">
        <v>1900</v>
      </c>
      <c r="J244">
        <v>310</v>
      </c>
      <c r="K244">
        <v>589000</v>
      </c>
      <c r="L244">
        <v>0</v>
      </c>
      <c r="M244">
        <v>589000</v>
      </c>
      <c r="N244" t="s">
        <v>222</v>
      </c>
      <c r="O244" t="s">
        <v>21</v>
      </c>
    </row>
    <row r="245" spans="1:15" x14ac:dyDescent="0.3">
      <c r="A245" t="str">
        <f t="shared" si="3"/>
        <v>OPPW001611-R000-SP</v>
      </c>
      <c r="B245" t="s">
        <v>14</v>
      </c>
      <c r="C245" t="s">
        <v>213</v>
      </c>
      <c r="D245" t="s">
        <v>201</v>
      </c>
      <c r="E245" t="s">
        <v>225</v>
      </c>
      <c r="F245" t="s">
        <v>18</v>
      </c>
      <c r="G245" t="s">
        <v>63</v>
      </c>
      <c r="H245">
        <v>0</v>
      </c>
      <c r="I245">
        <v>300</v>
      </c>
      <c r="J245">
        <v>310</v>
      </c>
      <c r="K245">
        <v>93000</v>
      </c>
      <c r="L245">
        <v>0</v>
      </c>
      <c r="M245">
        <v>93000</v>
      </c>
      <c r="N245" t="s">
        <v>222</v>
      </c>
      <c r="O245" t="s">
        <v>21</v>
      </c>
    </row>
    <row r="246" spans="1:15" x14ac:dyDescent="0.3">
      <c r="A246" t="str">
        <f t="shared" si="3"/>
        <v>OPPW001611-R000-WW</v>
      </c>
      <c r="B246" t="s">
        <v>14</v>
      </c>
      <c r="C246" t="s">
        <v>213</v>
      </c>
      <c r="D246" t="s">
        <v>28</v>
      </c>
      <c r="E246" t="s">
        <v>226</v>
      </c>
      <c r="F246" t="s">
        <v>18</v>
      </c>
      <c r="G246" t="s">
        <v>26</v>
      </c>
      <c r="H246">
        <v>0</v>
      </c>
      <c r="I246">
        <v>800</v>
      </c>
      <c r="J246">
        <v>310</v>
      </c>
      <c r="K246">
        <v>248000</v>
      </c>
      <c r="L246">
        <v>0</v>
      </c>
      <c r="M246">
        <v>248000</v>
      </c>
      <c r="N246" t="s">
        <v>227</v>
      </c>
      <c r="O246" t="s">
        <v>21</v>
      </c>
    </row>
    <row r="247" spans="1:15" x14ac:dyDescent="0.3">
      <c r="A247" t="str">
        <f t="shared" si="3"/>
        <v>OPPW001611-R000-WW</v>
      </c>
      <c r="B247" t="s">
        <v>14</v>
      </c>
      <c r="C247" t="s">
        <v>213</v>
      </c>
      <c r="D247" t="s">
        <v>28</v>
      </c>
      <c r="E247" t="s">
        <v>226</v>
      </c>
      <c r="F247" t="s">
        <v>18</v>
      </c>
      <c r="G247" t="s">
        <v>23</v>
      </c>
      <c r="H247">
        <v>0</v>
      </c>
      <c r="I247">
        <v>1000</v>
      </c>
      <c r="J247">
        <v>310</v>
      </c>
      <c r="K247">
        <v>310000</v>
      </c>
      <c r="L247">
        <v>0</v>
      </c>
      <c r="M247">
        <v>310000</v>
      </c>
      <c r="N247" t="s">
        <v>227</v>
      </c>
      <c r="O247" t="s">
        <v>21</v>
      </c>
    </row>
    <row r="248" spans="1:15" x14ac:dyDescent="0.3">
      <c r="A248" t="str">
        <f t="shared" si="3"/>
        <v>OPPW001611-R000-WW</v>
      </c>
      <c r="B248" t="s">
        <v>14</v>
      </c>
      <c r="C248" t="s">
        <v>213</v>
      </c>
      <c r="D248" t="s">
        <v>28</v>
      </c>
      <c r="E248" t="s">
        <v>226</v>
      </c>
      <c r="F248" t="s">
        <v>18</v>
      </c>
      <c r="G248" t="s">
        <v>19</v>
      </c>
      <c r="H248">
        <v>0</v>
      </c>
      <c r="I248">
        <v>0</v>
      </c>
      <c r="J248">
        <v>310</v>
      </c>
      <c r="K248">
        <v>0</v>
      </c>
      <c r="L248">
        <v>0</v>
      </c>
      <c r="M248">
        <v>0</v>
      </c>
      <c r="N248" t="s">
        <v>227</v>
      </c>
      <c r="O248" t="s">
        <v>21</v>
      </c>
    </row>
    <row r="249" spans="1:15" x14ac:dyDescent="0.3">
      <c r="A249" t="str">
        <f t="shared" si="3"/>
        <v>OPPW001611-R000-WW</v>
      </c>
      <c r="B249" t="s">
        <v>14</v>
      </c>
      <c r="C249" t="s">
        <v>213</v>
      </c>
      <c r="D249" t="s">
        <v>28</v>
      </c>
      <c r="E249" t="s">
        <v>226</v>
      </c>
      <c r="F249" t="s">
        <v>18</v>
      </c>
      <c r="G249" t="s">
        <v>49</v>
      </c>
      <c r="H249">
        <v>0</v>
      </c>
      <c r="I249">
        <v>200</v>
      </c>
      <c r="J249">
        <v>310</v>
      </c>
      <c r="K249">
        <v>62000</v>
      </c>
      <c r="L249">
        <v>0</v>
      </c>
      <c r="M249">
        <v>62000</v>
      </c>
      <c r="N249" t="s">
        <v>227</v>
      </c>
      <c r="O249" t="s">
        <v>21</v>
      </c>
    </row>
    <row r="250" spans="1:15" x14ac:dyDescent="0.3">
      <c r="A250" t="str">
        <f t="shared" si="3"/>
        <v>OPPW001613-R000-BI</v>
      </c>
      <c r="B250" t="s">
        <v>14</v>
      </c>
      <c r="C250" t="s">
        <v>228</v>
      </c>
      <c r="D250" t="s">
        <v>244</v>
      </c>
      <c r="E250" t="s">
        <v>1717</v>
      </c>
      <c r="F250" t="s">
        <v>18</v>
      </c>
      <c r="G250" t="s">
        <v>49</v>
      </c>
      <c r="H250">
        <v>0</v>
      </c>
      <c r="I250">
        <v>200</v>
      </c>
      <c r="J250">
        <v>200</v>
      </c>
      <c r="K250">
        <v>40000</v>
      </c>
      <c r="L250">
        <v>0</v>
      </c>
      <c r="M250">
        <v>40000</v>
      </c>
      <c r="N250" t="s">
        <v>1718</v>
      </c>
      <c r="O250" t="s">
        <v>21</v>
      </c>
    </row>
    <row r="251" spans="1:15" x14ac:dyDescent="0.3">
      <c r="A251" t="str">
        <f t="shared" si="3"/>
        <v>OPPW001613-R000-BI</v>
      </c>
      <c r="B251" t="s">
        <v>14</v>
      </c>
      <c r="C251" t="s">
        <v>228</v>
      </c>
      <c r="D251" t="s">
        <v>244</v>
      </c>
      <c r="E251" t="s">
        <v>1717</v>
      </c>
      <c r="F251" t="s">
        <v>18</v>
      </c>
      <c r="G251" t="s">
        <v>23</v>
      </c>
      <c r="H251">
        <v>0</v>
      </c>
      <c r="I251">
        <v>1000</v>
      </c>
      <c r="J251">
        <v>200</v>
      </c>
      <c r="K251">
        <v>200000</v>
      </c>
      <c r="L251">
        <v>0</v>
      </c>
      <c r="M251">
        <v>200000</v>
      </c>
      <c r="N251" t="s">
        <v>1718</v>
      </c>
      <c r="O251" t="s">
        <v>21</v>
      </c>
    </row>
    <row r="252" spans="1:15" x14ac:dyDescent="0.3">
      <c r="A252" t="str">
        <f t="shared" si="3"/>
        <v>OPPW001613-R000-FK</v>
      </c>
      <c r="B252" t="s">
        <v>14</v>
      </c>
      <c r="C252" t="s">
        <v>228</v>
      </c>
      <c r="D252" t="s">
        <v>229</v>
      </c>
      <c r="E252" t="s">
        <v>230</v>
      </c>
      <c r="F252" t="s">
        <v>18</v>
      </c>
      <c r="G252" t="s">
        <v>49</v>
      </c>
      <c r="H252">
        <v>0</v>
      </c>
      <c r="I252">
        <v>400</v>
      </c>
      <c r="J252">
        <v>200</v>
      </c>
      <c r="K252">
        <v>80000</v>
      </c>
      <c r="L252">
        <v>0</v>
      </c>
      <c r="M252">
        <v>80000</v>
      </c>
      <c r="N252" t="s">
        <v>231</v>
      </c>
      <c r="O252" t="s">
        <v>21</v>
      </c>
    </row>
    <row r="253" spans="1:15" x14ac:dyDescent="0.3">
      <c r="A253" t="str">
        <f t="shared" si="3"/>
        <v>OPPW001613-R000-IV</v>
      </c>
      <c r="B253" t="s">
        <v>14</v>
      </c>
      <c r="C253" t="s">
        <v>228</v>
      </c>
      <c r="D253" t="s">
        <v>214</v>
      </c>
      <c r="E253" t="s">
        <v>232</v>
      </c>
      <c r="F253" t="s">
        <v>18</v>
      </c>
      <c r="G253" t="s">
        <v>174</v>
      </c>
      <c r="H253">
        <v>0</v>
      </c>
      <c r="I253">
        <v>2400</v>
      </c>
      <c r="J253">
        <v>190</v>
      </c>
      <c r="K253">
        <v>456000</v>
      </c>
      <c r="L253">
        <v>0</v>
      </c>
      <c r="M253">
        <v>456000</v>
      </c>
      <c r="N253" t="s">
        <v>233</v>
      </c>
      <c r="O253" t="s">
        <v>21</v>
      </c>
    </row>
    <row r="254" spans="1:15" x14ac:dyDescent="0.3">
      <c r="A254" t="str">
        <f t="shared" si="3"/>
        <v>OPPW001613-R000-IV</v>
      </c>
      <c r="B254" t="s">
        <v>14</v>
      </c>
      <c r="C254" t="s">
        <v>228</v>
      </c>
      <c r="D254" t="s">
        <v>214</v>
      </c>
      <c r="E254" t="s">
        <v>232</v>
      </c>
      <c r="F254" t="s">
        <v>18</v>
      </c>
      <c r="G254" t="s">
        <v>49</v>
      </c>
      <c r="H254">
        <v>0</v>
      </c>
      <c r="I254">
        <v>21120</v>
      </c>
      <c r="J254">
        <v>190</v>
      </c>
      <c r="K254">
        <v>4012800</v>
      </c>
      <c r="L254">
        <v>0</v>
      </c>
      <c r="M254">
        <v>4012800</v>
      </c>
      <c r="N254" t="s">
        <v>233</v>
      </c>
      <c r="O254" t="s">
        <v>21</v>
      </c>
    </row>
    <row r="255" spans="1:15" x14ac:dyDescent="0.3">
      <c r="A255" t="str">
        <f t="shared" si="3"/>
        <v>OPPW001613-R000-IV</v>
      </c>
      <c r="B255" t="s">
        <v>14</v>
      </c>
      <c r="C255" t="s">
        <v>228</v>
      </c>
      <c r="D255" t="s">
        <v>214</v>
      </c>
      <c r="E255" t="s">
        <v>232</v>
      </c>
      <c r="F255" t="s">
        <v>18</v>
      </c>
      <c r="G255" t="s">
        <v>19</v>
      </c>
      <c r="H255">
        <v>0</v>
      </c>
      <c r="I255">
        <v>6400</v>
      </c>
      <c r="J255">
        <v>190</v>
      </c>
      <c r="K255">
        <v>1216000</v>
      </c>
      <c r="L255">
        <v>0</v>
      </c>
      <c r="M255">
        <v>1216000</v>
      </c>
      <c r="N255" t="s">
        <v>233</v>
      </c>
      <c r="O255" t="s">
        <v>21</v>
      </c>
    </row>
    <row r="256" spans="1:15" x14ac:dyDescent="0.3">
      <c r="A256" t="str">
        <f t="shared" si="3"/>
        <v>OPPW001613-R000-IV</v>
      </c>
      <c r="B256" t="s">
        <v>14</v>
      </c>
      <c r="C256" t="s">
        <v>228</v>
      </c>
      <c r="D256" t="s">
        <v>214</v>
      </c>
      <c r="E256" t="s">
        <v>232</v>
      </c>
      <c r="F256" t="s">
        <v>18</v>
      </c>
      <c r="G256" t="s">
        <v>83</v>
      </c>
      <c r="H256">
        <v>0</v>
      </c>
      <c r="I256">
        <v>6000</v>
      </c>
      <c r="J256">
        <v>190</v>
      </c>
      <c r="K256">
        <v>1140000</v>
      </c>
      <c r="L256">
        <v>0</v>
      </c>
      <c r="M256">
        <v>1140000</v>
      </c>
      <c r="N256" t="s">
        <v>233</v>
      </c>
      <c r="O256" t="s">
        <v>21</v>
      </c>
    </row>
    <row r="257" spans="1:15" x14ac:dyDescent="0.3">
      <c r="A257" t="str">
        <f t="shared" si="3"/>
        <v>OPPW001613-R000-IV</v>
      </c>
      <c r="B257" t="s">
        <v>14</v>
      </c>
      <c r="C257" t="s">
        <v>228</v>
      </c>
      <c r="D257" t="s">
        <v>214</v>
      </c>
      <c r="E257" t="s">
        <v>232</v>
      </c>
      <c r="F257" t="s">
        <v>18</v>
      </c>
      <c r="G257" t="s">
        <v>23</v>
      </c>
      <c r="H257">
        <v>0</v>
      </c>
      <c r="I257">
        <v>3200</v>
      </c>
      <c r="J257">
        <v>190</v>
      </c>
      <c r="K257">
        <v>608000</v>
      </c>
      <c r="L257">
        <v>0</v>
      </c>
      <c r="M257">
        <v>608000</v>
      </c>
      <c r="N257" t="s">
        <v>233</v>
      </c>
      <c r="O257" t="s">
        <v>21</v>
      </c>
    </row>
    <row r="258" spans="1:15" x14ac:dyDescent="0.3">
      <c r="A258" t="str">
        <f t="shared" si="3"/>
        <v>OPPW001613-R000-IV</v>
      </c>
      <c r="B258" t="s">
        <v>14</v>
      </c>
      <c r="C258" t="s">
        <v>228</v>
      </c>
      <c r="D258" t="s">
        <v>214</v>
      </c>
      <c r="E258" t="s">
        <v>232</v>
      </c>
      <c r="F258" t="s">
        <v>18</v>
      </c>
      <c r="G258" t="s">
        <v>111</v>
      </c>
      <c r="H258">
        <v>0</v>
      </c>
      <c r="I258">
        <v>1000</v>
      </c>
      <c r="J258">
        <v>190</v>
      </c>
      <c r="K258">
        <v>190000</v>
      </c>
      <c r="L258">
        <v>0</v>
      </c>
      <c r="M258">
        <v>190000</v>
      </c>
      <c r="N258" t="s">
        <v>233</v>
      </c>
      <c r="O258" t="s">
        <v>21</v>
      </c>
    </row>
    <row r="259" spans="1:15" x14ac:dyDescent="0.3">
      <c r="A259" t="str">
        <f t="shared" ref="A259:A322" si="4">C259&amp;"-"&amp;D259</f>
        <v>OPPW001613-R000-IV</v>
      </c>
      <c r="B259" t="s">
        <v>14</v>
      </c>
      <c r="C259" t="s">
        <v>228</v>
      </c>
      <c r="D259" t="s">
        <v>214</v>
      </c>
      <c r="E259" t="s">
        <v>232</v>
      </c>
      <c r="F259" t="s">
        <v>18</v>
      </c>
      <c r="G259" t="s">
        <v>35</v>
      </c>
      <c r="H259">
        <v>0</v>
      </c>
      <c r="I259">
        <v>18000</v>
      </c>
      <c r="J259">
        <v>190</v>
      </c>
      <c r="K259">
        <v>3420000</v>
      </c>
      <c r="L259">
        <v>0</v>
      </c>
      <c r="M259">
        <v>3420000</v>
      </c>
      <c r="N259" t="s">
        <v>233</v>
      </c>
      <c r="O259" t="s">
        <v>21</v>
      </c>
    </row>
    <row r="260" spans="1:15" x14ac:dyDescent="0.3">
      <c r="A260" t="str">
        <f t="shared" si="4"/>
        <v>OPPW001613-R000-IV</v>
      </c>
      <c r="B260" t="s">
        <v>14</v>
      </c>
      <c r="C260" t="s">
        <v>228</v>
      </c>
      <c r="D260" t="s">
        <v>214</v>
      </c>
      <c r="E260" t="s">
        <v>232</v>
      </c>
      <c r="F260" t="s">
        <v>18</v>
      </c>
      <c r="G260" t="s">
        <v>63</v>
      </c>
      <c r="H260">
        <v>0</v>
      </c>
      <c r="I260">
        <v>3000</v>
      </c>
      <c r="J260">
        <v>190</v>
      </c>
      <c r="K260">
        <v>570000</v>
      </c>
      <c r="L260">
        <v>0</v>
      </c>
      <c r="M260">
        <v>570000</v>
      </c>
      <c r="N260" t="s">
        <v>233</v>
      </c>
      <c r="O260" t="s">
        <v>21</v>
      </c>
    </row>
    <row r="261" spans="1:15" x14ac:dyDescent="0.3">
      <c r="A261" t="str">
        <f t="shared" si="4"/>
        <v>OPPW001613-R000-IV</v>
      </c>
      <c r="B261" t="s">
        <v>14</v>
      </c>
      <c r="C261" t="s">
        <v>228</v>
      </c>
      <c r="D261" t="s">
        <v>214</v>
      </c>
      <c r="E261" t="s">
        <v>232</v>
      </c>
      <c r="F261" t="s">
        <v>18</v>
      </c>
      <c r="G261" t="s">
        <v>210</v>
      </c>
      <c r="H261">
        <v>0</v>
      </c>
      <c r="I261">
        <v>2400</v>
      </c>
      <c r="J261">
        <v>190</v>
      </c>
      <c r="K261">
        <v>456000</v>
      </c>
      <c r="L261">
        <v>0</v>
      </c>
      <c r="M261">
        <v>456000</v>
      </c>
      <c r="N261" t="s">
        <v>233</v>
      </c>
      <c r="O261" t="s">
        <v>21</v>
      </c>
    </row>
    <row r="262" spans="1:15" x14ac:dyDescent="0.3">
      <c r="A262" t="str">
        <f t="shared" si="4"/>
        <v>OPPW001613-R000-NCC</v>
      </c>
      <c r="B262" t="s">
        <v>14</v>
      </c>
      <c r="C262" t="s">
        <v>228</v>
      </c>
      <c r="D262" t="s">
        <v>220</v>
      </c>
      <c r="E262" t="s">
        <v>235</v>
      </c>
      <c r="F262" t="s">
        <v>18</v>
      </c>
      <c r="G262" t="s">
        <v>83</v>
      </c>
      <c r="H262">
        <v>0</v>
      </c>
      <c r="I262">
        <v>800</v>
      </c>
      <c r="J262">
        <v>200</v>
      </c>
      <c r="K262">
        <v>160000</v>
      </c>
      <c r="L262">
        <v>0</v>
      </c>
      <c r="M262">
        <v>160000</v>
      </c>
      <c r="N262" t="s">
        <v>231</v>
      </c>
      <c r="O262" t="s">
        <v>21</v>
      </c>
    </row>
    <row r="263" spans="1:15" x14ac:dyDescent="0.3">
      <c r="A263" t="str">
        <f t="shared" si="4"/>
        <v>OPPW001613-R000-NCC</v>
      </c>
      <c r="B263" t="s">
        <v>14</v>
      </c>
      <c r="C263" t="s">
        <v>228</v>
      </c>
      <c r="D263" t="s">
        <v>220</v>
      </c>
      <c r="E263" t="s">
        <v>235</v>
      </c>
      <c r="F263" t="s">
        <v>18</v>
      </c>
      <c r="G263" t="s">
        <v>63</v>
      </c>
      <c r="H263">
        <v>0</v>
      </c>
      <c r="I263">
        <v>600</v>
      </c>
      <c r="J263">
        <v>200</v>
      </c>
      <c r="K263">
        <v>120000</v>
      </c>
      <c r="L263">
        <v>0</v>
      </c>
      <c r="M263">
        <v>120000</v>
      </c>
      <c r="N263" t="s">
        <v>231</v>
      </c>
      <c r="O263" t="s">
        <v>21</v>
      </c>
    </row>
    <row r="264" spans="1:15" x14ac:dyDescent="0.3">
      <c r="A264" t="str">
        <f t="shared" si="4"/>
        <v>OPPW001613-R000-OAT</v>
      </c>
      <c r="B264" t="s">
        <v>14</v>
      </c>
      <c r="C264" t="s">
        <v>228</v>
      </c>
      <c r="D264" t="s">
        <v>223</v>
      </c>
      <c r="E264" t="s">
        <v>1719</v>
      </c>
      <c r="F264" t="s">
        <v>18</v>
      </c>
      <c r="G264" t="s">
        <v>49</v>
      </c>
      <c r="H264">
        <v>0</v>
      </c>
      <c r="I264">
        <v>200</v>
      </c>
      <c r="J264">
        <v>190</v>
      </c>
      <c r="K264">
        <v>38000</v>
      </c>
      <c r="L264">
        <v>0</v>
      </c>
      <c r="M264">
        <v>38000</v>
      </c>
      <c r="N264" t="s">
        <v>231</v>
      </c>
      <c r="O264" t="s">
        <v>21</v>
      </c>
    </row>
    <row r="265" spans="1:15" x14ac:dyDescent="0.3">
      <c r="A265" t="str">
        <f t="shared" si="4"/>
        <v>OPPW001613-R000-OS</v>
      </c>
      <c r="B265" t="s">
        <v>14</v>
      </c>
      <c r="C265" t="s">
        <v>228</v>
      </c>
      <c r="D265" t="s">
        <v>264</v>
      </c>
      <c r="E265" t="s">
        <v>1720</v>
      </c>
      <c r="F265" t="s">
        <v>18</v>
      </c>
      <c r="G265" t="s">
        <v>49</v>
      </c>
      <c r="H265">
        <v>0</v>
      </c>
      <c r="I265">
        <v>1000</v>
      </c>
      <c r="J265">
        <v>200</v>
      </c>
      <c r="K265">
        <v>200000</v>
      </c>
      <c r="L265">
        <v>0</v>
      </c>
      <c r="M265">
        <v>200000</v>
      </c>
      <c r="N265" t="s">
        <v>231</v>
      </c>
      <c r="O265" t="s">
        <v>21</v>
      </c>
    </row>
    <row r="266" spans="1:15" x14ac:dyDescent="0.3">
      <c r="A266" t="str">
        <f t="shared" si="4"/>
        <v>OPPW001613-R000-SP</v>
      </c>
      <c r="B266" t="s">
        <v>14</v>
      </c>
      <c r="C266" t="s">
        <v>228</v>
      </c>
      <c r="D266" t="s">
        <v>201</v>
      </c>
      <c r="E266" t="s">
        <v>236</v>
      </c>
      <c r="F266" t="s">
        <v>18</v>
      </c>
      <c r="G266" t="s">
        <v>49</v>
      </c>
      <c r="H266">
        <v>0</v>
      </c>
      <c r="I266">
        <v>600</v>
      </c>
      <c r="J266">
        <v>200</v>
      </c>
      <c r="K266">
        <v>120000</v>
      </c>
      <c r="L266">
        <v>0</v>
      </c>
      <c r="M266">
        <v>120000</v>
      </c>
      <c r="N266" t="s">
        <v>231</v>
      </c>
      <c r="O266" t="s">
        <v>21</v>
      </c>
    </row>
    <row r="267" spans="1:15" x14ac:dyDescent="0.3">
      <c r="A267" t="str">
        <f t="shared" si="4"/>
        <v>OPPW001613-R000-SP</v>
      </c>
      <c r="B267" t="s">
        <v>14</v>
      </c>
      <c r="C267" t="s">
        <v>228</v>
      </c>
      <c r="D267" t="s">
        <v>201</v>
      </c>
      <c r="E267" t="s">
        <v>236</v>
      </c>
      <c r="F267" t="s">
        <v>18</v>
      </c>
      <c r="G267" t="s">
        <v>23</v>
      </c>
      <c r="H267">
        <v>0</v>
      </c>
      <c r="I267">
        <v>3200</v>
      </c>
      <c r="J267">
        <v>200</v>
      </c>
      <c r="K267">
        <v>640000</v>
      </c>
      <c r="L267">
        <v>0</v>
      </c>
      <c r="M267">
        <v>640000</v>
      </c>
      <c r="N267" t="s">
        <v>231</v>
      </c>
      <c r="O267" t="s">
        <v>21</v>
      </c>
    </row>
    <row r="268" spans="1:15" x14ac:dyDescent="0.3">
      <c r="A268" t="str">
        <f t="shared" si="4"/>
        <v>OPPW001613-R000-SP</v>
      </c>
      <c r="B268" t="s">
        <v>14</v>
      </c>
      <c r="C268" t="s">
        <v>228</v>
      </c>
      <c r="D268" t="s">
        <v>201</v>
      </c>
      <c r="E268" t="s">
        <v>236</v>
      </c>
      <c r="F268" t="s">
        <v>18</v>
      </c>
      <c r="G268" t="s">
        <v>63</v>
      </c>
      <c r="H268">
        <v>0</v>
      </c>
      <c r="I268">
        <v>200</v>
      </c>
      <c r="J268">
        <v>200</v>
      </c>
      <c r="K268">
        <v>40000</v>
      </c>
      <c r="L268">
        <v>0</v>
      </c>
      <c r="M268">
        <v>40000</v>
      </c>
      <c r="N268" t="s">
        <v>231</v>
      </c>
      <c r="O268" t="s">
        <v>21</v>
      </c>
    </row>
    <row r="269" spans="1:15" x14ac:dyDescent="0.3">
      <c r="A269" t="str">
        <f t="shared" si="4"/>
        <v>OPPW001613-R000-WW</v>
      </c>
      <c r="B269" t="s">
        <v>14</v>
      </c>
      <c r="C269" t="s">
        <v>228</v>
      </c>
      <c r="D269" t="s">
        <v>28</v>
      </c>
      <c r="E269" t="s">
        <v>237</v>
      </c>
      <c r="F269" t="s">
        <v>18</v>
      </c>
      <c r="G269" t="s">
        <v>23</v>
      </c>
      <c r="H269">
        <v>0</v>
      </c>
      <c r="I269">
        <v>8000</v>
      </c>
      <c r="J269">
        <v>190</v>
      </c>
      <c r="K269">
        <v>1520000</v>
      </c>
      <c r="L269">
        <v>0</v>
      </c>
      <c r="M269">
        <v>1520000</v>
      </c>
      <c r="N269" t="s">
        <v>238</v>
      </c>
      <c r="O269" t="s">
        <v>21</v>
      </c>
    </row>
    <row r="270" spans="1:15" x14ac:dyDescent="0.3">
      <c r="A270" t="str">
        <f t="shared" si="4"/>
        <v>OPPW001613-R000-WW</v>
      </c>
      <c r="B270" t="s">
        <v>14</v>
      </c>
      <c r="C270" t="s">
        <v>228</v>
      </c>
      <c r="D270" t="s">
        <v>28</v>
      </c>
      <c r="E270" t="s">
        <v>237</v>
      </c>
      <c r="F270" t="s">
        <v>18</v>
      </c>
      <c r="G270" t="s">
        <v>35</v>
      </c>
      <c r="H270">
        <v>0</v>
      </c>
      <c r="I270">
        <v>84400</v>
      </c>
      <c r="J270">
        <v>190</v>
      </c>
      <c r="K270">
        <v>16036000</v>
      </c>
      <c r="L270">
        <v>0</v>
      </c>
      <c r="M270">
        <v>16036000</v>
      </c>
      <c r="N270" t="s">
        <v>238</v>
      </c>
      <c r="O270" t="s">
        <v>21</v>
      </c>
    </row>
    <row r="271" spans="1:15" x14ac:dyDescent="0.3">
      <c r="A271" t="str">
        <f t="shared" si="4"/>
        <v>OPPW001613-R000-WW</v>
      </c>
      <c r="B271" t="s">
        <v>14</v>
      </c>
      <c r="C271" t="s">
        <v>228</v>
      </c>
      <c r="D271" t="s">
        <v>28</v>
      </c>
      <c r="E271" t="s">
        <v>237</v>
      </c>
      <c r="F271" t="s">
        <v>18</v>
      </c>
      <c r="G271" t="s">
        <v>49</v>
      </c>
      <c r="H271">
        <v>0</v>
      </c>
      <c r="I271">
        <v>70600</v>
      </c>
      <c r="J271">
        <v>190</v>
      </c>
      <c r="K271">
        <v>13414000</v>
      </c>
      <c r="L271">
        <v>0</v>
      </c>
      <c r="M271">
        <v>13414000</v>
      </c>
      <c r="N271" t="s">
        <v>238</v>
      </c>
      <c r="O271" t="s">
        <v>21</v>
      </c>
    </row>
    <row r="272" spans="1:15" x14ac:dyDescent="0.3">
      <c r="A272" t="str">
        <f t="shared" si="4"/>
        <v>OPPW001613-R000-WW</v>
      </c>
      <c r="B272" t="s">
        <v>14</v>
      </c>
      <c r="C272" t="s">
        <v>228</v>
      </c>
      <c r="D272" t="s">
        <v>28</v>
      </c>
      <c r="E272" t="s">
        <v>237</v>
      </c>
      <c r="F272" t="s">
        <v>18</v>
      </c>
      <c r="G272" t="s">
        <v>26</v>
      </c>
      <c r="H272">
        <v>0</v>
      </c>
      <c r="I272">
        <v>3000</v>
      </c>
      <c r="J272">
        <v>190</v>
      </c>
      <c r="K272">
        <v>570000</v>
      </c>
      <c r="L272">
        <v>0</v>
      </c>
      <c r="M272">
        <v>570000</v>
      </c>
      <c r="N272" t="s">
        <v>238</v>
      </c>
      <c r="O272" t="s">
        <v>21</v>
      </c>
    </row>
    <row r="273" spans="1:15" x14ac:dyDescent="0.3">
      <c r="A273" t="str">
        <f t="shared" si="4"/>
        <v>OPPW001613-R000-WW</v>
      </c>
      <c r="B273" t="s">
        <v>14</v>
      </c>
      <c r="C273" t="s">
        <v>228</v>
      </c>
      <c r="D273" t="s">
        <v>28</v>
      </c>
      <c r="E273" t="s">
        <v>237</v>
      </c>
      <c r="F273" t="s">
        <v>18</v>
      </c>
      <c r="G273" t="s">
        <v>210</v>
      </c>
      <c r="H273">
        <v>0</v>
      </c>
      <c r="I273">
        <v>33300</v>
      </c>
      <c r="J273">
        <v>190</v>
      </c>
      <c r="K273">
        <v>6327000</v>
      </c>
      <c r="L273">
        <v>0</v>
      </c>
      <c r="M273">
        <v>6327000</v>
      </c>
      <c r="N273" t="s">
        <v>238</v>
      </c>
      <c r="O273" t="s">
        <v>21</v>
      </c>
    </row>
    <row r="274" spans="1:15" x14ac:dyDescent="0.3">
      <c r="A274" t="str">
        <f t="shared" si="4"/>
        <v>OPPW001613-R000-WW</v>
      </c>
      <c r="B274" t="s">
        <v>14</v>
      </c>
      <c r="C274" t="s">
        <v>228</v>
      </c>
      <c r="D274" t="s">
        <v>28</v>
      </c>
      <c r="E274" t="s">
        <v>237</v>
      </c>
      <c r="F274" t="s">
        <v>18</v>
      </c>
      <c r="G274" t="s">
        <v>174</v>
      </c>
      <c r="H274">
        <v>0</v>
      </c>
      <c r="I274">
        <v>2000</v>
      </c>
      <c r="J274">
        <v>190</v>
      </c>
      <c r="K274">
        <v>380000</v>
      </c>
      <c r="L274">
        <v>0</v>
      </c>
      <c r="M274">
        <v>380000</v>
      </c>
      <c r="N274" t="s">
        <v>238</v>
      </c>
      <c r="O274" t="s">
        <v>21</v>
      </c>
    </row>
    <row r="275" spans="1:15" x14ac:dyDescent="0.3">
      <c r="A275" t="str">
        <f t="shared" si="4"/>
        <v>OPPW001613-R000-WW</v>
      </c>
      <c r="B275" t="s">
        <v>14</v>
      </c>
      <c r="C275" t="s">
        <v>228</v>
      </c>
      <c r="D275" t="s">
        <v>28</v>
      </c>
      <c r="E275" t="s">
        <v>237</v>
      </c>
      <c r="F275" t="s">
        <v>18</v>
      </c>
      <c r="G275" t="s">
        <v>239</v>
      </c>
      <c r="H275">
        <v>0</v>
      </c>
      <c r="I275">
        <v>600</v>
      </c>
      <c r="J275">
        <v>150</v>
      </c>
      <c r="K275">
        <v>90000</v>
      </c>
      <c r="L275">
        <v>0</v>
      </c>
      <c r="M275">
        <v>90000</v>
      </c>
      <c r="N275" t="s">
        <v>238</v>
      </c>
      <c r="O275" t="s">
        <v>21</v>
      </c>
    </row>
    <row r="276" spans="1:15" x14ac:dyDescent="0.3">
      <c r="A276" t="str">
        <f t="shared" si="4"/>
        <v>OPPW001613-R000-WW</v>
      </c>
      <c r="B276" t="s">
        <v>14</v>
      </c>
      <c r="C276" t="s">
        <v>228</v>
      </c>
      <c r="D276" t="s">
        <v>28</v>
      </c>
      <c r="E276" t="s">
        <v>237</v>
      </c>
      <c r="F276" t="s">
        <v>18</v>
      </c>
      <c r="G276" t="s">
        <v>19</v>
      </c>
      <c r="H276">
        <v>0</v>
      </c>
      <c r="I276">
        <v>17120</v>
      </c>
      <c r="J276">
        <v>190</v>
      </c>
      <c r="K276">
        <v>3252800</v>
      </c>
      <c r="L276">
        <v>0</v>
      </c>
      <c r="M276">
        <v>3252800</v>
      </c>
      <c r="N276" t="s">
        <v>238</v>
      </c>
      <c r="O276" t="s">
        <v>21</v>
      </c>
    </row>
    <row r="277" spans="1:15" x14ac:dyDescent="0.3">
      <c r="A277" t="str">
        <f t="shared" si="4"/>
        <v>OPPW001613-R000-WW</v>
      </c>
      <c r="B277" t="s">
        <v>14</v>
      </c>
      <c r="C277" t="s">
        <v>228</v>
      </c>
      <c r="D277" t="s">
        <v>28</v>
      </c>
      <c r="E277" t="s">
        <v>237</v>
      </c>
      <c r="F277" t="s">
        <v>18</v>
      </c>
      <c r="G277" t="s">
        <v>83</v>
      </c>
      <c r="H277">
        <v>0</v>
      </c>
      <c r="I277">
        <v>16800</v>
      </c>
      <c r="J277">
        <v>190</v>
      </c>
      <c r="K277">
        <v>3192000</v>
      </c>
      <c r="L277">
        <v>0</v>
      </c>
      <c r="M277">
        <v>3192000</v>
      </c>
      <c r="N277" t="s">
        <v>238</v>
      </c>
      <c r="O277" t="s">
        <v>21</v>
      </c>
    </row>
    <row r="278" spans="1:15" x14ac:dyDescent="0.3">
      <c r="A278" t="str">
        <f t="shared" si="4"/>
        <v>OPPW001614-R000-WW</v>
      </c>
      <c r="B278" t="s">
        <v>14</v>
      </c>
      <c r="C278" t="s">
        <v>240</v>
      </c>
      <c r="D278" t="s">
        <v>28</v>
      </c>
      <c r="E278" t="s">
        <v>241</v>
      </c>
      <c r="F278" t="s">
        <v>18</v>
      </c>
      <c r="G278" t="s">
        <v>49</v>
      </c>
      <c r="H278">
        <v>0</v>
      </c>
      <c r="I278">
        <v>7800</v>
      </c>
      <c r="J278">
        <v>320</v>
      </c>
      <c r="K278">
        <v>2496000</v>
      </c>
      <c r="L278">
        <v>0</v>
      </c>
      <c r="M278">
        <v>2496000</v>
      </c>
      <c r="N278" t="s">
        <v>242</v>
      </c>
      <c r="O278" t="s">
        <v>21</v>
      </c>
    </row>
    <row r="279" spans="1:15" x14ac:dyDescent="0.3">
      <c r="A279" t="str">
        <f t="shared" si="4"/>
        <v>OPPW001614-R000-WW</v>
      </c>
      <c r="B279" t="s">
        <v>14</v>
      </c>
      <c r="C279" t="s">
        <v>240</v>
      </c>
      <c r="D279" t="s">
        <v>28</v>
      </c>
      <c r="E279" t="s">
        <v>241</v>
      </c>
      <c r="F279" t="s">
        <v>18</v>
      </c>
      <c r="G279" t="s">
        <v>210</v>
      </c>
      <c r="H279">
        <v>0</v>
      </c>
      <c r="I279">
        <v>4400</v>
      </c>
      <c r="J279">
        <v>320</v>
      </c>
      <c r="K279">
        <v>1408000</v>
      </c>
      <c r="L279">
        <v>0</v>
      </c>
      <c r="M279">
        <v>1408000</v>
      </c>
      <c r="N279" t="s">
        <v>242</v>
      </c>
      <c r="O279" t="s">
        <v>21</v>
      </c>
    </row>
    <row r="280" spans="1:15" x14ac:dyDescent="0.3">
      <c r="A280" t="str">
        <f t="shared" si="4"/>
        <v>OPPW001614-R000-WW</v>
      </c>
      <c r="B280" t="s">
        <v>14</v>
      </c>
      <c r="C280" t="s">
        <v>240</v>
      </c>
      <c r="D280" t="s">
        <v>28</v>
      </c>
      <c r="E280" t="s">
        <v>241</v>
      </c>
      <c r="F280" t="s">
        <v>18</v>
      </c>
      <c r="G280" t="s">
        <v>35</v>
      </c>
      <c r="H280">
        <v>0</v>
      </c>
      <c r="I280">
        <v>600</v>
      </c>
      <c r="J280">
        <v>320</v>
      </c>
      <c r="K280">
        <v>192000</v>
      </c>
      <c r="L280">
        <v>0</v>
      </c>
      <c r="M280">
        <v>192000</v>
      </c>
      <c r="N280" t="s">
        <v>242</v>
      </c>
      <c r="O280" t="s">
        <v>21</v>
      </c>
    </row>
    <row r="281" spans="1:15" x14ac:dyDescent="0.3">
      <c r="A281" t="str">
        <f t="shared" si="4"/>
        <v>OPPW001615-R000-BI</v>
      </c>
      <c r="B281" t="s">
        <v>14</v>
      </c>
      <c r="C281" t="s">
        <v>243</v>
      </c>
      <c r="D281" t="s">
        <v>244</v>
      </c>
      <c r="E281" t="s">
        <v>245</v>
      </c>
      <c r="F281" t="s">
        <v>18</v>
      </c>
      <c r="G281" t="s">
        <v>23</v>
      </c>
      <c r="H281">
        <v>0</v>
      </c>
      <c r="I281">
        <v>150</v>
      </c>
      <c r="J281">
        <v>510</v>
      </c>
      <c r="K281">
        <v>76500</v>
      </c>
      <c r="L281">
        <v>0</v>
      </c>
      <c r="M281">
        <v>76500</v>
      </c>
      <c r="N281" t="s">
        <v>247</v>
      </c>
      <c r="O281" t="s">
        <v>21</v>
      </c>
    </row>
    <row r="282" spans="1:15" x14ac:dyDescent="0.3">
      <c r="A282" t="str">
        <f t="shared" si="4"/>
        <v>OPPW001615-R000-BI</v>
      </c>
      <c r="B282" t="s">
        <v>14</v>
      </c>
      <c r="C282" t="s">
        <v>243</v>
      </c>
      <c r="D282" t="s">
        <v>244</v>
      </c>
      <c r="E282" t="s">
        <v>245</v>
      </c>
      <c r="F282" t="s">
        <v>18</v>
      </c>
      <c r="G282" t="s">
        <v>49</v>
      </c>
      <c r="H282">
        <v>0</v>
      </c>
      <c r="I282">
        <v>1200</v>
      </c>
      <c r="J282">
        <v>510</v>
      </c>
      <c r="K282">
        <v>612000</v>
      </c>
      <c r="L282">
        <v>0</v>
      </c>
      <c r="M282">
        <v>612000</v>
      </c>
      <c r="N282" t="s">
        <v>247</v>
      </c>
      <c r="O282" t="s">
        <v>21</v>
      </c>
    </row>
    <row r="283" spans="1:15" x14ac:dyDescent="0.3">
      <c r="A283" t="str">
        <f t="shared" si="4"/>
        <v>OPPW001615-R000-BI</v>
      </c>
      <c r="B283" t="s">
        <v>14</v>
      </c>
      <c r="C283" t="s">
        <v>243</v>
      </c>
      <c r="D283" t="s">
        <v>244</v>
      </c>
      <c r="E283" t="s">
        <v>245</v>
      </c>
      <c r="F283" t="s">
        <v>18</v>
      </c>
      <c r="G283" t="s">
        <v>83</v>
      </c>
      <c r="H283">
        <v>0</v>
      </c>
      <c r="I283">
        <v>1200</v>
      </c>
      <c r="J283">
        <v>510</v>
      </c>
      <c r="K283">
        <v>612000</v>
      </c>
      <c r="L283">
        <v>0</v>
      </c>
      <c r="M283">
        <v>612000</v>
      </c>
      <c r="N283" t="s">
        <v>247</v>
      </c>
      <c r="O283" t="s">
        <v>21</v>
      </c>
    </row>
    <row r="284" spans="1:15" x14ac:dyDescent="0.3">
      <c r="A284" t="str">
        <f t="shared" si="4"/>
        <v>OPPW001615-R000-OHN</v>
      </c>
      <c r="B284" t="s">
        <v>14</v>
      </c>
      <c r="C284" t="s">
        <v>243</v>
      </c>
      <c r="D284" t="s">
        <v>251</v>
      </c>
      <c r="E284" t="s">
        <v>252</v>
      </c>
      <c r="F284" t="s">
        <v>18</v>
      </c>
      <c r="G284" t="s">
        <v>49</v>
      </c>
      <c r="H284">
        <v>0</v>
      </c>
      <c r="I284">
        <v>800</v>
      </c>
      <c r="J284">
        <v>510</v>
      </c>
      <c r="K284">
        <v>408000</v>
      </c>
      <c r="L284">
        <v>0</v>
      </c>
      <c r="M284">
        <v>408000</v>
      </c>
      <c r="N284" t="s">
        <v>247</v>
      </c>
      <c r="O284" t="s">
        <v>21</v>
      </c>
    </row>
    <row r="285" spans="1:15" x14ac:dyDescent="0.3">
      <c r="A285" t="str">
        <f t="shared" si="4"/>
        <v>OPPW001615-R000-WW</v>
      </c>
      <c r="B285" t="s">
        <v>14</v>
      </c>
      <c r="C285" t="s">
        <v>243</v>
      </c>
      <c r="D285" t="s">
        <v>28</v>
      </c>
      <c r="E285" t="s">
        <v>254</v>
      </c>
      <c r="F285" t="s">
        <v>18</v>
      </c>
      <c r="G285" t="s">
        <v>239</v>
      </c>
      <c r="H285">
        <v>0</v>
      </c>
      <c r="I285">
        <v>300</v>
      </c>
      <c r="J285">
        <v>480</v>
      </c>
      <c r="K285">
        <v>144000</v>
      </c>
      <c r="L285">
        <v>0</v>
      </c>
      <c r="M285">
        <v>144000</v>
      </c>
      <c r="N285" t="s">
        <v>255</v>
      </c>
      <c r="O285" t="s">
        <v>21</v>
      </c>
    </row>
    <row r="286" spans="1:15" x14ac:dyDescent="0.3">
      <c r="A286" t="str">
        <f t="shared" si="4"/>
        <v>OPPW001618-R000-BI</v>
      </c>
      <c r="B286" t="s">
        <v>14</v>
      </c>
      <c r="C286" t="s">
        <v>256</v>
      </c>
      <c r="D286" t="s">
        <v>244</v>
      </c>
      <c r="E286" t="s">
        <v>257</v>
      </c>
      <c r="F286" t="s">
        <v>18</v>
      </c>
      <c r="G286" t="s">
        <v>49</v>
      </c>
      <c r="H286">
        <v>0</v>
      </c>
      <c r="I286">
        <v>200</v>
      </c>
      <c r="J286">
        <v>220</v>
      </c>
      <c r="K286">
        <v>44000</v>
      </c>
      <c r="L286">
        <v>0</v>
      </c>
      <c r="M286">
        <v>44000</v>
      </c>
      <c r="N286" t="s">
        <v>258</v>
      </c>
      <c r="O286" t="s">
        <v>21</v>
      </c>
    </row>
    <row r="287" spans="1:15" x14ac:dyDescent="0.3">
      <c r="A287" t="str">
        <f t="shared" si="4"/>
        <v>OPPW001618-R000-CGYM</v>
      </c>
      <c r="B287" t="s">
        <v>14</v>
      </c>
      <c r="C287" t="s">
        <v>256</v>
      </c>
      <c r="D287" t="s">
        <v>921</v>
      </c>
      <c r="E287" t="s">
        <v>1721</v>
      </c>
      <c r="F287" t="s">
        <v>18</v>
      </c>
      <c r="G287" t="s">
        <v>83</v>
      </c>
      <c r="H287">
        <v>0</v>
      </c>
      <c r="I287">
        <v>400</v>
      </c>
      <c r="J287">
        <v>220</v>
      </c>
      <c r="K287">
        <v>88000</v>
      </c>
      <c r="L287">
        <v>0</v>
      </c>
      <c r="M287">
        <v>88000</v>
      </c>
      <c r="N287" t="s">
        <v>263</v>
      </c>
      <c r="O287" t="s">
        <v>21</v>
      </c>
    </row>
    <row r="288" spans="1:15" x14ac:dyDescent="0.3">
      <c r="A288" t="str">
        <f t="shared" si="4"/>
        <v>OPPW001618-R000-FK</v>
      </c>
      <c r="B288" t="s">
        <v>14</v>
      </c>
      <c r="C288" t="s">
        <v>256</v>
      </c>
      <c r="D288" t="s">
        <v>229</v>
      </c>
      <c r="E288" t="s">
        <v>1722</v>
      </c>
      <c r="F288" t="s">
        <v>18</v>
      </c>
      <c r="G288" t="s">
        <v>49</v>
      </c>
      <c r="H288">
        <v>0</v>
      </c>
      <c r="I288">
        <v>200</v>
      </c>
      <c r="J288">
        <v>220</v>
      </c>
      <c r="K288">
        <v>44000</v>
      </c>
      <c r="L288">
        <v>0</v>
      </c>
      <c r="M288">
        <v>44000</v>
      </c>
      <c r="N288" t="s">
        <v>1723</v>
      </c>
      <c r="O288" t="s">
        <v>21</v>
      </c>
    </row>
    <row r="289" spans="1:15" x14ac:dyDescent="0.3">
      <c r="A289" t="str">
        <f t="shared" si="4"/>
        <v>OPPW001618-R000-IV</v>
      </c>
      <c r="B289" t="s">
        <v>14</v>
      </c>
      <c r="C289" t="s">
        <v>256</v>
      </c>
      <c r="D289" t="s">
        <v>214</v>
      </c>
      <c r="E289" t="s">
        <v>259</v>
      </c>
      <c r="F289" t="s">
        <v>18</v>
      </c>
      <c r="G289" t="s">
        <v>174</v>
      </c>
      <c r="H289">
        <v>0</v>
      </c>
      <c r="I289">
        <v>4000</v>
      </c>
      <c r="J289">
        <v>170</v>
      </c>
      <c r="K289">
        <v>680000</v>
      </c>
      <c r="L289">
        <v>0</v>
      </c>
      <c r="M289">
        <v>680000</v>
      </c>
      <c r="N289" t="s">
        <v>260</v>
      </c>
      <c r="O289" t="s">
        <v>21</v>
      </c>
    </row>
    <row r="290" spans="1:15" x14ac:dyDescent="0.3">
      <c r="A290" t="str">
        <f t="shared" si="4"/>
        <v>OPPW001618-R000-IV</v>
      </c>
      <c r="B290" t="s">
        <v>14</v>
      </c>
      <c r="C290" t="s">
        <v>256</v>
      </c>
      <c r="D290" t="s">
        <v>214</v>
      </c>
      <c r="E290" t="s">
        <v>259</v>
      </c>
      <c r="F290" t="s">
        <v>18</v>
      </c>
      <c r="G290" t="s">
        <v>35</v>
      </c>
      <c r="H290">
        <v>0</v>
      </c>
      <c r="I290">
        <v>0</v>
      </c>
      <c r="J290">
        <v>200</v>
      </c>
      <c r="K290">
        <v>0</v>
      </c>
      <c r="L290">
        <v>0</v>
      </c>
      <c r="M290">
        <v>0</v>
      </c>
      <c r="N290" t="s">
        <v>260</v>
      </c>
      <c r="O290" t="s">
        <v>21</v>
      </c>
    </row>
    <row r="291" spans="1:15" x14ac:dyDescent="0.3">
      <c r="A291" t="str">
        <f t="shared" si="4"/>
        <v>OPPW001618-R000-IV</v>
      </c>
      <c r="B291" t="s">
        <v>14</v>
      </c>
      <c r="C291" t="s">
        <v>256</v>
      </c>
      <c r="D291" t="s">
        <v>214</v>
      </c>
      <c r="E291" t="s">
        <v>259</v>
      </c>
      <c r="F291" t="s">
        <v>18</v>
      </c>
      <c r="G291" t="s">
        <v>49</v>
      </c>
      <c r="H291">
        <v>0</v>
      </c>
      <c r="I291">
        <v>40350</v>
      </c>
      <c r="J291">
        <v>200</v>
      </c>
      <c r="K291">
        <v>8070000</v>
      </c>
      <c r="L291">
        <v>0</v>
      </c>
      <c r="M291">
        <v>8070000</v>
      </c>
      <c r="N291" t="s">
        <v>260</v>
      </c>
      <c r="O291" t="s">
        <v>21</v>
      </c>
    </row>
    <row r="292" spans="1:15" x14ac:dyDescent="0.3">
      <c r="A292" t="str">
        <f t="shared" si="4"/>
        <v>OPPW001618-R000-IV</v>
      </c>
      <c r="B292" t="s">
        <v>14</v>
      </c>
      <c r="C292" t="s">
        <v>256</v>
      </c>
      <c r="D292" t="s">
        <v>214</v>
      </c>
      <c r="E292" t="s">
        <v>259</v>
      </c>
      <c r="F292" t="s">
        <v>18</v>
      </c>
      <c r="G292" t="s">
        <v>26</v>
      </c>
      <c r="H292">
        <v>0</v>
      </c>
      <c r="I292">
        <v>1000</v>
      </c>
      <c r="J292">
        <v>200</v>
      </c>
      <c r="K292">
        <v>200000</v>
      </c>
      <c r="L292">
        <v>0</v>
      </c>
      <c r="M292">
        <v>200000</v>
      </c>
      <c r="N292" t="s">
        <v>260</v>
      </c>
      <c r="O292" t="s">
        <v>21</v>
      </c>
    </row>
    <row r="293" spans="1:15" x14ac:dyDescent="0.3">
      <c r="A293" t="str">
        <f t="shared" si="4"/>
        <v>OPPW001618-R000-IV</v>
      </c>
      <c r="B293" t="s">
        <v>14</v>
      </c>
      <c r="C293" t="s">
        <v>256</v>
      </c>
      <c r="D293" t="s">
        <v>214</v>
      </c>
      <c r="E293" t="s">
        <v>259</v>
      </c>
      <c r="F293" t="s">
        <v>18</v>
      </c>
      <c r="G293" t="s">
        <v>111</v>
      </c>
      <c r="H293">
        <v>0</v>
      </c>
      <c r="I293">
        <v>400</v>
      </c>
      <c r="J293">
        <v>200</v>
      </c>
      <c r="K293">
        <v>80000</v>
      </c>
      <c r="L293">
        <v>0</v>
      </c>
      <c r="M293">
        <v>80000</v>
      </c>
      <c r="N293" t="s">
        <v>260</v>
      </c>
      <c r="O293" t="s">
        <v>21</v>
      </c>
    </row>
    <row r="294" spans="1:15" x14ac:dyDescent="0.3">
      <c r="A294" t="str">
        <f t="shared" si="4"/>
        <v>OPPW001618-R000-IV</v>
      </c>
      <c r="B294" t="s">
        <v>14</v>
      </c>
      <c r="C294" t="s">
        <v>256</v>
      </c>
      <c r="D294" t="s">
        <v>214</v>
      </c>
      <c r="E294" t="s">
        <v>259</v>
      </c>
      <c r="F294" t="s">
        <v>18</v>
      </c>
      <c r="G294" t="s">
        <v>63</v>
      </c>
      <c r="H294">
        <v>0</v>
      </c>
      <c r="I294">
        <v>600</v>
      </c>
      <c r="J294">
        <v>200</v>
      </c>
      <c r="K294">
        <v>120000</v>
      </c>
      <c r="L294">
        <v>0</v>
      </c>
      <c r="M294">
        <v>120000</v>
      </c>
      <c r="N294" t="s">
        <v>260</v>
      </c>
      <c r="O294" t="s">
        <v>21</v>
      </c>
    </row>
    <row r="295" spans="1:15" x14ac:dyDescent="0.3">
      <c r="A295" t="str">
        <f t="shared" si="4"/>
        <v>OPPW001618-R000-OS</v>
      </c>
      <c r="B295" t="s">
        <v>14</v>
      </c>
      <c r="C295" t="s">
        <v>256</v>
      </c>
      <c r="D295" t="s">
        <v>264</v>
      </c>
      <c r="E295" t="s">
        <v>265</v>
      </c>
      <c r="F295" t="s">
        <v>18</v>
      </c>
      <c r="G295" t="s">
        <v>63</v>
      </c>
      <c r="H295">
        <v>0</v>
      </c>
      <c r="I295">
        <v>600</v>
      </c>
      <c r="J295">
        <v>220</v>
      </c>
      <c r="K295">
        <v>132000</v>
      </c>
      <c r="L295">
        <v>0</v>
      </c>
      <c r="M295">
        <v>132000</v>
      </c>
      <c r="N295" t="s">
        <v>263</v>
      </c>
      <c r="O295" t="s">
        <v>21</v>
      </c>
    </row>
    <row r="296" spans="1:15" x14ac:dyDescent="0.3">
      <c r="A296" t="str">
        <f t="shared" si="4"/>
        <v>OPPW001618-R000-OS</v>
      </c>
      <c r="B296" t="s">
        <v>14</v>
      </c>
      <c r="C296" t="s">
        <v>256</v>
      </c>
      <c r="D296" t="s">
        <v>264</v>
      </c>
      <c r="E296" t="s">
        <v>265</v>
      </c>
      <c r="F296" t="s">
        <v>18</v>
      </c>
      <c r="G296" t="s">
        <v>111</v>
      </c>
      <c r="H296">
        <v>0</v>
      </c>
      <c r="I296">
        <v>600</v>
      </c>
      <c r="J296">
        <v>220</v>
      </c>
      <c r="K296">
        <v>132000</v>
      </c>
      <c r="L296">
        <v>0</v>
      </c>
      <c r="M296">
        <v>132000</v>
      </c>
      <c r="N296" t="s">
        <v>263</v>
      </c>
      <c r="O296" t="s">
        <v>21</v>
      </c>
    </row>
    <row r="297" spans="1:15" x14ac:dyDescent="0.3">
      <c r="A297" t="str">
        <f t="shared" si="4"/>
        <v>OPPW001618-R000-SP</v>
      </c>
      <c r="B297" t="s">
        <v>14</v>
      </c>
      <c r="C297" t="s">
        <v>256</v>
      </c>
      <c r="D297" t="s">
        <v>201</v>
      </c>
      <c r="E297" t="s">
        <v>266</v>
      </c>
      <c r="F297" t="s">
        <v>18</v>
      </c>
      <c r="G297" t="s">
        <v>239</v>
      </c>
      <c r="H297">
        <v>0</v>
      </c>
      <c r="I297">
        <v>400</v>
      </c>
      <c r="J297">
        <v>220</v>
      </c>
      <c r="K297">
        <v>88000</v>
      </c>
      <c r="L297">
        <v>0</v>
      </c>
      <c r="M297">
        <v>88000</v>
      </c>
      <c r="N297" t="s">
        <v>263</v>
      </c>
      <c r="O297" t="s">
        <v>21</v>
      </c>
    </row>
    <row r="298" spans="1:15" x14ac:dyDescent="0.3">
      <c r="A298" t="str">
        <f t="shared" si="4"/>
        <v>OPPW001618-R000-SP</v>
      </c>
      <c r="B298" t="s">
        <v>14</v>
      </c>
      <c r="C298" t="s">
        <v>256</v>
      </c>
      <c r="D298" t="s">
        <v>201</v>
      </c>
      <c r="E298" t="s">
        <v>266</v>
      </c>
      <c r="F298" t="s">
        <v>18</v>
      </c>
      <c r="G298" t="s">
        <v>49</v>
      </c>
      <c r="H298">
        <v>0</v>
      </c>
      <c r="I298">
        <v>800</v>
      </c>
      <c r="J298">
        <v>220</v>
      </c>
      <c r="K298">
        <v>176000</v>
      </c>
      <c r="L298">
        <v>0</v>
      </c>
      <c r="M298">
        <v>176000</v>
      </c>
      <c r="N298" t="s">
        <v>263</v>
      </c>
      <c r="O298" t="s">
        <v>21</v>
      </c>
    </row>
    <row r="299" spans="1:15" x14ac:dyDescent="0.3">
      <c r="A299" t="str">
        <f t="shared" si="4"/>
        <v>OPPW001618-R000-SP</v>
      </c>
      <c r="B299" t="s">
        <v>14</v>
      </c>
      <c r="C299" t="s">
        <v>256</v>
      </c>
      <c r="D299" t="s">
        <v>201</v>
      </c>
      <c r="E299" t="s">
        <v>266</v>
      </c>
      <c r="F299" t="s">
        <v>18</v>
      </c>
      <c r="G299" t="s">
        <v>63</v>
      </c>
      <c r="H299">
        <v>0</v>
      </c>
      <c r="I299">
        <v>200</v>
      </c>
      <c r="J299">
        <v>220</v>
      </c>
      <c r="K299">
        <v>44000</v>
      </c>
      <c r="L299">
        <v>0</v>
      </c>
      <c r="M299">
        <v>44000</v>
      </c>
      <c r="N299" t="s">
        <v>263</v>
      </c>
      <c r="O299" t="s">
        <v>21</v>
      </c>
    </row>
    <row r="300" spans="1:15" x14ac:dyDescent="0.3">
      <c r="A300" t="str">
        <f t="shared" si="4"/>
        <v>OPPW001618-R000-TS</v>
      </c>
      <c r="B300" t="s">
        <v>14</v>
      </c>
      <c r="C300" t="s">
        <v>256</v>
      </c>
      <c r="D300" t="s">
        <v>168</v>
      </c>
      <c r="E300" t="s">
        <v>1724</v>
      </c>
      <c r="F300" t="s">
        <v>18</v>
      </c>
      <c r="G300" t="s">
        <v>23</v>
      </c>
      <c r="H300">
        <v>0</v>
      </c>
      <c r="I300">
        <v>200</v>
      </c>
      <c r="J300">
        <v>200</v>
      </c>
      <c r="K300">
        <v>40000</v>
      </c>
      <c r="L300">
        <v>0</v>
      </c>
      <c r="M300">
        <v>40000</v>
      </c>
      <c r="N300" t="s">
        <v>262</v>
      </c>
      <c r="O300" t="s">
        <v>21</v>
      </c>
    </row>
    <row r="301" spans="1:15" x14ac:dyDescent="0.3">
      <c r="A301" t="str">
        <f t="shared" si="4"/>
        <v>OPPW001618-R000-TS</v>
      </c>
      <c r="B301" t="s">
        <v>14</v>
      </c>
      <c r="C301" t="s">
        <v>256</v>
      </c>
      <c r="D301" t="s">
        <v>168</v>
      </c>
      <c r="E301" t="s">
        <v>1724</v>
      </c>
      <c r="F301" t="s">
        <v>18</v>
      </c>
      <c r="G301" t="s">
        <v>26</v>
      </c>
      <c r="H301">
        <v>0</v>
      </c>
      <c r="I301">
        <v>400</v>
      </c>
      <c r="J301">
        <v>180</v>
      </c>
      <c r="K301">
        <v>72000</v>
      </c>
      <c r="L301">
        <v>0</v>
      </c>
      <c r="M301">
        <v>72000</v>
      </c>
      <c r="N301" t="s">
        <v>262</v>
      </c>
      <c r="O301" t="s">
        <v>21</v>
      </c>
    </row>
    <row r="302" spans="1:15" x14ac:dyDescent="0.3">
      <c r="A302" t="str">
        <f t="shared" si="4"/>
        <v>OPPW001618-R000-WW</v>
      </c>
      <c r="B302" t="s">
        <v>14</v>
      </c>
      <c r="C302" t="s">
        <v>256</v>
      </c>
      <c r="D302" t="s">
        <v>28</v>
      </c>
      <c r="E302" t="s">
        <v>267</v>
      </c>
      <c r="F302" t="s">
        <v>18</v>
      </c>
      <c r="G302" t="s">
        <v>63</v>
      </c>
      <c r="H302">
        <v>0</v>
      </c>
      <c r="I302">
        <v>1400</v>
      </c>
      <c r="J302">
        <v>200</v>
      </c>
      <c r="K302">
        <v>280000</v>
      </c>
      <c r="L302">
        <v>0</v>
      </c>
      <c r="M302">
        <v>280000</v>
      </c>
      <c r="N302" t="s">
        <v>268</v>
      </c>
      <c r="O302" t="s">
        <v>21</v>
      </c>
    </row>
    <row r="303" spans="1:15" x14ac:dyDescent="0.3">
      <c r="A303" t="str">
        <f t="shared" si="4"/>
        <v>OPPW001618-R000-WW</v>
      </c>
      <c r="B303" t="s">
        <v>14</v>
      </c>
      <c r="C303" t="s">
        <v>256</v>
      </c>
      <c r="D303" t="s">
        <v>28</v>
      </c>
      <c r="E303" t="s">
        <v>267</v>
      </c>
      <c r="F303" t="s">
        <v>18</v>
      </c>
      <c r="G303" t="s">
        <v>210</v>
      </c>
      <c r="H303">
        <v>0</v>
      </c>
      <c r="I303">
        <v>12680</v>
      </c>
      <c r="J303">
        <v>200</v>
      </c>
      <c r="K303">
        <v>2536000</v>
      </c>
      <c r="L303">
        <v>0</v>
      </c>
      <c r="M303">
        <v>2536000</v>
      </c>
      <c r="N303" t="s">
        <v>268</v>
      </c>
      <c r="O303" t="s">
        <v>21</v>
      </c>
    </row>
    <row r="304" spans="1:15" x14ac:dyDescent="0.3">
      <c r="A304" t="str">
        <f t="shared" si="4"/>
        <v>OPPW001618-R000-WW</v>
      </c>
      <c r="B304" t="s">
        <v>14</v>
      </c>
      <c r="C304" t="s">
        <v>256</v>
      </c>
      <c r="D304" t="s">
        <v>28</v>
      </c>
      <c r="E304" t="s">
        <v>267</v>
      </c>
      <c r="F304" t="s">
        <v>18</v>
      </c>
      <c r="G304" t="s">
        <v>23</v>
      </c>
      <c r="H304">
        <v>0</v>
      </c>
      <c r="I304">
        <v>8000</v>
      </c>
      <c r="J304">
        <v>200</v>
      </c>
      <c r="K304">
        <v>1600000</v>
      </c>
      <c r="L304">
        <v>0</v>
      </c>
      <c r="M304">
        <v>1600000</v>
      </c>
      <c r="N304" t="s">
        <v>268</v>
      </c>
      <c r="O304" t="s">
        <v>21</v>
      </c>
    </row>
    <row r="305" spans="1:15" x14ac:dyDescent="0.3">
      <c r="A305" t="str">
        <f t="shared" si="4"/>
        <v>OPPW001618-R000-WW</v>
      </c>
      <c r="B305" t="s">
        <v>14</v>
      </c>
      <c r="C305" t="s">
        <v>256</v>
      </c>
      <c r="D305" t="s">
        <v>28</v>
      </c>
      <c r="E305" t="s">
        <v>267</v>
      </c>
      <c r="F305" t="s">
        <v>18</v>
      </c>
      <c r="G305" t="s">
        <v>239</v>
      </c>
      <c r="H305">
        <v>0</v>
      </c>
      <c r="I305">
        <v>2000</v>
      </c>
      <c r="J305">
        <v>200</v>
      </c>
      <c r="K305">
        <v>400000</v>
      </c>
      <c r="L305">
        <v>0</v>
      </c>
      <c r="M305">
        <v>400000</v>
      </c>
      <c r="N305" t="s">
        <v>268</v>
      </c>
      <c r="O305" t="s">
        <v>21</v>
      </c>
    </row>
    <row r="306" spans="1:15" x14ac:dyDescent="0.3">
      <c r="A306" t="str">
        <f t="shared" si="4"/>
        <v>OPPW001618-R000-WW</v>
      </c>
      <c r="B306" t="s">
        <v>14</v>
      </c>
      <c r="C306" t="s">
        <v>256</v>
      </c>
      <c r="D306" t="s">
        <v>28</v>
      </c>
      <c r="E306" t="s">
        <v>267</v>
      </c>
      <c r="F306" t="s">
        <v>18</v>
      </c>
      <c r="G306" t="s">
        <v>83</v>
      </c>
      <c r="H306">
        <v>0</v>
      </c>
      <c r="I306">
        <v>11000</v>
      </c>
      <c r="J306">
        <v>200</v>
      </c>
      <c r="K306">
        <v>2200000</v>
      </c>
      <c r="L306">
        <v>0</v>
      </c>
      <c r="M306">
        <v>2200000</v>
      </c>
      <c r="N306" t="s">
        <v>268</v>
      </c>
      <c r="O306" t="s">
        <v>21</v>
      </c>
    </row>
    <row r="307" spans="1:15" x14ac:dyDescent="0.3">
      <c r="A307" t="str">
        <f t="shared" si="4"/>
        <v>OPPW001618-R000-WW</v>
      </c>
      <c r="B307" t="s">
        <v>14</v>
      </c>
      <c r="C307" t="s">
        <v>256</v>
      </c>
      <c r="D307" t="s">
        <v>28</v>
      </c>
      <c r="E307" t="s">
        <v>267</v>
      </c>
      <c r="F307" t="s">
        <v>18</v>
      </c>
      <c r="G307" t="s">
        <v>19</v>
      </c>
      <c r="H307">
        <v>0</v>
      </c>
      <c r="I307">
        <v>16200</v>
      </c>
      <c r="J307">
        <v>200</v>
      </c>
      <c r="K307">
        <v>3240000</v>
      </c>
      <c r="L307">
        <v>0</v>
      </c>
      <c r="M307">
        <v>3240000</v>
      </c>
      <c r="N307" t="s">
        <v>268</v>
      </c>
      <c r="O307" t="s">
        <v>21</v>
      </c>
    </row>
    <row r="308" spans="1:15" x14ac:dyDescent="0.3">
      <c r="A308" t="str">
        <f t="shared" si="4"/>
        <v>OPPW001618-R000-WW</v>
      </c>
      <c r="B308" t="s">
        <v>14</v>
      </c>
      <c r="C308" t="s">
        <v>256</v>
      </c>
      <c r="D308" t="s">
        <v>28</v>
      </c>
      <c r="E308" t="s">
        <v>267</v>
      </c>
      <c r="F308" t="s">
        <v>18</v>
      </c>
      <c r="G308" t="s">
        <v>35</v>
      </c>
      <c r="H308">
        <v>0</v>
      </c>
      <c r="I308">
        <v>28000</v>
      </c>
      <c r="J308">
        <v>200</v>
      </c>
      <c r="K308">
        <v>5600000</v>
      </c>
      <c r="L308">
        <v>0</v>
      </c>
      <c r="M308">
        <v>5600000</v>
      </c>
      <c r="N308" t="s">
        <v>268</v>
      </c>
      <c r="O308" t="s">
        <v>21</v>
      </c>
    </row>
    <row r="309" spans="1:15" x14ac:dyDescent="0.3">
      <c r="A309" t="str">
        <f t="shared" si="4"/>
        <v>OPPW001618-R000-WW</v>
      </c>
      <c r="B309" t="s">
        <v>14</v>
      </c>
      <c r="C309" t="s">
        <v>256</v>
      </c>
      <c r="D309" t="s">
        <v>28</v>
      </c>
      <c r="E309" t="s">
        <v>267</v>
      </c>
      <c r="F309" t="s">
        <v>18</v>
      </c>
      <c r="G309" t="s">
        <v>49</v>
      </c>
      <c r="H309">
        <v>0</v>
      </c>
      <c r="I309">
        <v>2600</v>
      </c>
      <c r="J309">
        <v>200</v>
      </c>
      <c r="K309">
        <v>520000</v>
      </c>
      <c r="L309">
        <v>0</v>
      </c>
      <c r="M309">
        <v>520000</v>
      </c>
      <c r="N309" t="s">
        <v>268</v>
      </c>
      <c r="O309" t="s">
        <v>21</v>
      </c>
    </row>
    <row r="310" spans="1:15" x14ac:dyDescent="0.3">
      <c r="A310" t="str">
        <f t="shared" si="4"/>
        <v>OPPW001618-R000-WW</v>
      </c>
      <c r="B310" t="s">
        <v>14</v>
      </c>
      <c r="C310" t="s">
        <v>256</v>
      </c>
      <c r="D310" t="s">
        <v>28</v>
      </c>
      <c r="E310" t="s">
        <v>267</v>
      </c>
      <c r="F310" t="s">
        <v>18</v>
      </c>
      <c r="G310" t="s">
        <v>26</v>
      </c>
      <c r="H310">
        <v>0</v>
      </c>
      <c r="I310">
        <v>3000</v>
      </c>
      <c r="J310">
        <v>200</v>
      </c>
      <c r="K310">
        <v>600000</v>
      </c>
      <c r="L310">
        <v>0</v>
      </c>
      <c r="M310">
        <v>600000</v>
      </c>
      <c r="N310" t="s">
        <v>268</v>
      </c>
      <c r="O310" t="s">
        <v>21</v>
      </c>
    </row>
    <row r="311" spans="1:15" x14ac:dyDescent="0.3">
      <c r="A311" t="str">
        <f t="shared" si="4"/>
        <v>OPPW001623-R000-BI</v>
      </c>
      <c r="B311" t="s">
        <v>14</v>
      </c>
      <c r="C311" t="s">
        <v>269</v>
      </c>
      <c r="D311" t="s">
        <v>244</v>
      </c>
      <c r="E311" t="s">
        <v>271</v>
      </c>
      <c r="F311" t="s">
        <v>18</v>
      </c>
      <c r="G311" t="s">
        <v>23</v>
      </c>
      <c r="H311">
        <v>0</v>
      </c>
      <c r="I311">
        <v>2200</v>
      </c>
      <c r="J311">
        <v>270</v>
      </c>
      <c r="K311">
        <v>594000</v>
      </c>
      <c r="L311">
        <v>0</v>
      </c>
      <c r="M311">
        <v>594000</v>
      </c>
      <c r="N311" t="s">
        <v>272</v>
      </c>
      <c r="O311" t="s">
        <v>21</v>
      </c>
    </row>
    <row r="312" spans="1:15" x14ac:dyDescent="0.3">
      <c r="A312" t="str">
        <f t="shared" si="4"/>
        <v>OPPW001623-R000-BI</v>
      </c>
      <c r="B312" t="s">
        <v>14</v>
      </c>
      <c r="C312" t="s">
        <v>269</v>
      </c>
      <c r="D312" t="s">
        <v>244</v>
      </c>
      <c r="E312" t="s">
        <v>271</v>
      </c>
      <c r="F312" t="s">
        <v>18</v>
      </c>
      <c r="G312" t="s">
        <v>83</v>
      </c>
      <c r="H312">
        <v>0</v>
      </c>
      <c r="I312">
        <v>600</v>
      </c>
      <c r="J312">
        <v>270</v>
      </c>
      <c r="K312">
        <v>162000</v>
      </c>
      <c r="L312">
        <v>0</v>
      </c>
      <c r="M312">
        <v>162000</v>
      </c>
      <c r="N312" t="s">
        <v>272</v>
      </c>
      <c r="O312" t="s">
        <v>21</v>
      </c>
    </row>
    <row r="313" spans="1:15" x14ac:dyDescent="0.3">
      <c r="A313" t="str">
        <f t="shared" si="4"/>
        <v>OPPW001623-R000-FIV</v>
      </c>
      <c r="B313" t="s">
        <v>14</v>
      </c>
      <c r="C313" t="s">
        <v>269</v>
      </c>
      <c r="D313" t="s">
        <v>195</v>
      </c>
      <c r="E313" t="s">
        <v>1725</v>
      </c>
      <c r="F313" t="s">
        <v>18</v>
      </c>
      <c r="G313" t="s">
        <v>111</v>
      </c>
      <c r="H313">
        <v>0</v>
      </c>
      <c r="I313">
        <v>400</v>
      </c>
      <c r="J313">
        <v>270</v>
      </c>
      <c r="K313">
        <v>108000</v>
      </c>
      <c r="L313">
        <v>0</v>
      </c>
      <c r="M313">
        <v>108000</v>
      </c>
      <c r="N313" t="s">
        <v>272</v>
      </c>
      <c r="O313" t="s">
        <v>21</v>
      </c>
    </row>
    <row r="314" spans="1:15" x14ac:dyDescent="0.3">
      <c r="A314" t="str">
        <f t="shared" si="4"/>
        <v>OPPW001623-R000-IV</v>
      </c>
      <c r="B314" t="s">
        <v>14</v>
      </c>
      <c r="C314" t="s">
        <v>269</v>
      </c>
      <c r="D314" t="s">
        <v>214</v>
      </c>
      <c r="E314" t="s">
        <v>275</v>
      </c>
      <c r="F314" t="s">
        <v>18</v>
      </c>
      <c r="G314" t="s">
        <v>26</v>
      </c>
      <c r="H314">
        <v>0</v>
      </c>
      <c r="I314">
        <v>1700</v>
      </c>
      <c r="J314">
        <v>260</v>
      </c>
      <c r="K314">
        <v>442000</v>
      </c>
      <c r="L314">
        <v>0</v>
      </c>
      <c r="M314">
        <v>442000</v>
      </c>
      <c r="N314" t="s">
        <v>276</v>
      </c>
      <c r="O314" t="s">
        <v>21</v>
      </c>
    </row>
    <row r="315" spans="1:15" x14ac:dyDescent="0.3">
      <c r="A315" t="str">
        <f t="shared" si="4"/>
        <v>OPPW001623-R000-IV</v>
      </c>
      <c r="B315" t="s">
        <v>14</v>
      </c>
      <c r="C315" t="s">
        <v>269</v>
      </c>
      <c r="D315" t="s">
        <v>214</v>
      </c>
      <c r="E315" t="s">
        <v>275</v>
      </c>
      <c r="F315" t="s">
        <v>18</v>
      </c>
      <c r="G315" t="s">
        <v>35</v>
      </c>
      <c r="H315">
        <v>0</v>
      </c>
      <c r="I315">
        <v>15200</v>
      </c>
      <c r="J315">
        <v>260</v>
      </c>
      <c r="K315">
        <v>3952000</v>
      </c>
      <c r="L315">
        <v>0</v>
      </c>
      <c r="M315">
        <v>3952000</v>
      </c>
      <c r="N315" t="s">
        <v>276</v>
      </c>
      <c r="O315" t="s">
        <v>21</v>
      </c>
    </row>
    <row r="316" spans="1:15" x14ac:dyDescent="0.3">
      <c r="A316" t="str">
        <f t="shared" si="4"/>
        <v>OPPW001623-R000-IV</v>
      </c>
      <c r="B316" t="s">
        <v>14</v>
      </c>
      <c r="C316" t="s">
        <v>269</v>
      </c>
      <c r="D316" t="s">
        <v>214</v>
      </c>
      <c r="E316" t="s">
        <v>275</v>
      </c>
      <c r="F316" t="s">
        <v>18</v>
      </c>
      <c r="G316" t="s">
        <v>19</v>
      </c>
      <c r="H316">
        <v>0</v>
      </c>
      <c r="I316">
        <v>2400</v>
      </c>
      <c r="J316">
        <v>260</v>
      </c>
      <c r="K316">
        <v>624000</v>
      </c>
      <c r="L316">
        <v>0</v>
      </c>
      <c r="M316">
        <v>624000</v>
      </c>
      <c r="N316" t="s">
        <v>276</v>
      </c>
      <c r="O316" t="s">
        <v>21</v>
      </c>
    </row>
    <row r="317" spans="1:15" x14ac:dyDescent="0.3">
      <c r="A317" t="str">
        <f t="shared" si="4"/>
        <v>OPPW001623-R000-IV</v>
      </c>
      <c r="B317" t="s">
        <v>14</v>
      </c>
      <c r="C317" t="s">
        <v>269</v>
      </c>
      <c r="D317" t="s">
        <v>214</v>
      </c>
      <c r="E317" t="s">
        <v>275</v>
      </c>
      <c r="F317" t="s">
        <v>18</v>
      </c>
      <c r="G317" t="s">
        <v>83</v>
      </c>
      <c r="H317">
        <v>0</v>
      </c>
      <c r="I317">
        <v>7200</v>
      </c>
      <c r="J317">
        <v>210</v>
      </c>
      <c r="K317">
        <v>1512000</v>
      </c>
      <c r="L317">
        <v>0</v>
      </c>
      <c r="M317">
        <v>1512000</v>
      </c>
      <c r="N317" t="s">
        <v>276</v>
      </c>
      <c r="O317" t="s">
        <v>21</v>
      </c>
    </row>
    <row r="318" spans="1:15" x14ac:dyDescent="0.3">
      <c r="A318" t="str">
        <f t="shared" si="4"/>
        <v>OPPW001623-R000-IV</v>
      </c>
      <c r="B318" t="s">
        <v>14</v>
      </c>
      <c r="C318" t="s">
        <v>269</v>
      </c>
      <c r="D318" t="s">
        <v>214</v>
      </c>
      <c r="E318" t="s">
        <v>275</v>
      </c>
      <c r="F318" t="s">
        <v>18</v>
      </c>
      <c r="G318" t="s">
        <v>49</v>
      </c>
      <c r="H318">
        <v>0</v>
      </c>
      <c r="I318">
        <v>1200</v>
      </c>
      <c r="J318">
        <v>260</v>
      </c>
      <c r="K318">
        <v>312000</v>
      </c>
      <c r="L318">
        <v>0</v>
      </c>
      <c r="M318">
        <v>312000</v>
      </c>
      <c r="N318" t="s">
        <v>276</v>
      </c>
      <c r="O318" t="s">
        <v>21</v>
      </c>
    </row>
    <row r="319" spans="1:15" x14ac:dyDescent="0.3">
      <c r="A319" t="str">
        <f t="shared" si="4"/>
        <v>OPPW001623-R000-IV</v>
      </c>
      <c r="B319" t="s">
        <v>14</v>
      </c>
      <c r="C319" t="s">
        <v>269</v>
      </c>
      <c r="D319" t="s">
        <v>214</v>
      </c>
      <c r="E319" t="s">
        <v>275</v>
      </c>
      <c r="F319" t="s">
        <v>18</v>
      </c>
      <c r="G319" t="s">
        <v>63</v>
      </c>
      <c r="H319">
        <v>0</v>
      </c>
      <c r="I319">
        <v>400</v>
      </c>
      <c r="J319">
        <v>260</v>
      </c>
      <c r="K319">
        <v>104000</v>
      </c>
      <c r="L319">
        <v>0</v>
      </c>
      <c r="M319">
        <v>104000</v>
      </c>
      <c r="N319" t="s">
        <v>276</v>
      </c>
      <c r="O319" t="s">
        <v>21</v>
      </c>
    </row>
    <row r="320" spans="1:15" x14ac:dyDescent="0.3">
      <c r="A320" t="str">
        <f t="shared" si="4"/>
        <v>OPPW001623-R000-IV</v>
      </c>
      <c r="B320" t="s">
        <v>14</v>
      </c>
      <c r="C320" t="s">
        <v>269</v>
      </c>
      <c r="D320" t="s">
        <v>214</v>
      </c>
      <c r="E320" t="s">
        <v>275</v>
      </c>
      <c r="F320" t="s">
        <v>18</v>
      </c>
      <c r="G320" t="s">
        <v>210</v>
      </c>
      <c r="H320">
        <v>0</v>
      </c>
      <c r="I320">
        <v>7600</v>
      </c>
      <c r="J320">
        <v>260</v>
      </c>
      <c r="K320">
        <v>1976000</v>
      </c>
      <c r="L320">
        <v>0</v>
      </c>
      <c r="M320">
        <v>1976000</v>
      </c>
      <c r="N320" t="s">
        <v>276</v>
      </c>
      <c r="O320" t="s">
        <v>21</v>
      </c>
    </row>
    <row r="321" spans="1:15" x14ac:dyDescent="0.3">
      <c r="A321" t="str">
        <f t="shared" si="4"/>
        <v>OPPW001623-R000-OAT</v>
      </c>
      <c r="B321" t="s">
        <v>14</v>
      </c>
      <c r="C321" t="s">
        <v>269</v>
      </c>
      <c r="D321" t="s">
        <v>223</v>
      </c>
      <c r="E321" t="s">
        <v>1726</v>
      </c>
      <c r="F321" t="s">
        <v>18</v>
      </c>
      <c r="G321" t="s">
        <v>49</v>
      </c>
      <c r="H321">
        <v>0</v>
      </c>
      <c r="I321">
        <v>600</v>
      </c>
      <c r="J321">
        <v>260</v>
      </c>
      <c r="K321">
        <v>156000</v>
      </c>
      <c r="L321">
        <v>0</v>
      </c>
      <c r="M321">
        <v>156000</v>
      </c>
      <c r="N321" t="s">
        <v>273</v>
      </c>
      <c r="O321" t="s">
        <v>21</v>
      </c>
    </row>
    <row r="322" spans="1:15" x14ac:dyDescent="0.3">
      <c r="A322" t="str">
        <f t="shared" si="4"/>
        <v>OPPW001623-R000-WW</v>
      </c>
      <c r="B322" t="s">
        <v>14</v>
      </c>
      <c r="C322" t="s">
        <v>269</v>
      </c>
      <c r="D322" t="s">
        <v>28</v>
      </c>
      <c r="E322" t="s">
        <v>279</v>
      </c>
      <c r="F322" t="s">
        <v>18</v>
      </c>
      <c r="G322" t="s">
        <v>26</v>
      </c>
      <c r="H322">
        <v>0</v>
      </c>
      <c r="I322">
        <v>200</v>
      </c>
      <c r="J322">
        <v>260</v>
      </c>
      <c r="K322">
        <v>52000</v>
      </c>
      <c r="L322">
        <v>0</v>
      </c>
      <c r="M322">
        <v>52000</v>
      </c>
      <c r="N322" t="s">
        <v>272</v>
      </c>
      <c r="O322" t="s">
        <v>21</v>
      </c>
    </row>
    <row r="323" spans="1:15" x14ac:dyDescent="0.3">
      <c r="A323" t="str">
        <f t="shared" ref="A323:A386" si="5">C323&amp;"-"&amp;D323</f>
        <v>OPPW001623-R000-WW</v>
      </c>
      <c r="B323" t="s">
        <v>14</v>
      </c>
      <c r="C323" t="s">
        <v>269</v>
      </c>
      <c r="D323" t="s">
        <v>28</v>
      </c>
      <c r="E323" t="s">
        <v>279</v>
      </c>
      <c r="F323" t="s">
        <v>18</v>
      </c>
      <c r="G323" t="s">
        <v>210</v>
      </c>
      <c r="H323">
        <v>0</v>
      </c>
      <c r="I323">
        <v>19720</v>
      </c>
      <c r="J323">
        <v>260</v>
      </c>
      <c r="K323">
        <v>5127200</v>
      </c>
      <c r="L323">
        <v>0</v>
      </c>
      <c r="M323">
        <v>5127200</v>
      </c>
      <c r="N323" t="s">
        <v>272</v>
      </c>
      <c r="O323" t="s">
        <v>21</v>
      </c>
    </row>
    <row r="324" spans="1:15" x14ac:dyDescent="0.3">
      <c r="A324" t="str">
        <f t="shared" si="5"/>
        <v>OPPW001623-R000-WW</v>
      </c>
      <c r="B324" t="s">
        <v>14</v>
      </c>
      <c r="C324" t="s">
        <v>269</v>
      </c>
      <c r="D324" t="s">
        <v>28</v>
      </c>
      <c r="E324" t="s">
        <v>279</v>
      </c>
      <c r="F324" t="s">
        <v>18</v>
      </c>
      <c r="G324" t="s">
        <v>49</v>
      </c>
      <c r="H324">
        <v>0</v>
      </c>
      <c r="I324">
        <v>4000</v>
      </c>
      <c r="J324">
        <v>260</v>
      </c>
      <c r="K324">
        <v>1040000</v>
      </c>
      <c r="L324">
        <v>0</v>
      </c>
      <c r="M324">
        <v>1040000</v>
      </c>
      <c r="N324" t="s">
        <v>272</v>
      </c>
      <c r="O324" t="s">
        <v>21</v>
      </c>
    </row>
    <row r="325" spans="1:15" x14ac:dyDescent="0.3">
      <c r="A325" t="str">
        <f t="shared" si="5"/>
        <v>OPPW001623-R000-WW</v>
      </c>
      <c r="B325" t="s">
        <v>14</v>
      </c>
      <c r="C325" t="s">
        <v>269</v>
      </c>
      <c r="D325" t="s">
        <v>28</v>
      </c>
      <c r="E325" t="s">
        <v>279</v>
      </c>
      <c r="F325" t="s">
        <v>18</v>
      </c>
      <c r="G325" t="s">
        <v>35</v>
      </c>
      <c r="H325">
        <v>0</v>
      </c>
      <c r="I325">
        <v>12400</v>
      </c>
      <c r="J325">
        <v>260</v>
      </c>
      <c r="K325">
        <v>3224000</v>
      </c>
      <c r="L325">
        <v>0</v>
      </c>
      <c r="M325">
        <v>3224000</v>
      </c>
      <c r="N325" t="s">
        <v>272</v>
      </c>
      <c r="O325" t="s">
        <v>21</v>
      </c>
    </row>
    <row r="326" spans="1:15" x14ac:dyDescent="0.3">
      <c r="A326" t="str">
        <f t="shared" si="5"/>
        <v>OPPW001624-R000-BI</v>
      </c>
      <c r="B326" t="s">
        <v>14</v>
      </c>
      <c r="C326" t="s">
        <v>280</v>
      </c>
      <c r="D326" t="s">
        <v>244</v>
      </c>
      <c r="E326" t="s">
        <v>281</v>
      </c>
      <c r="F326" t="s">
        <v>18</v>
      </c>
      <c r="G326" t="s">
        <v>83</v>
      </c>
      <c r="H326">
        <v>0</v>
      </c>
      <c r="I326">
        <v>1200</v>
      </c>
      <c r="J326">
        <v>400</v>
      </c>
      <c r="K326">
        <v>480000</v>
      </c>
      <c r="L326">
        <v>0</v>
      </c>
      <c r="M326">
        <v>480000</v>
      </c>
      <c r="N326" t="s">
        <v>282</v>
      </c>
      <c r="O326" t="s">
        <v>21</v>
      </c>
    </row>
    <row r="327" spans="1:15" x14ac:dyDescent="0.3">
      <c r="A327" t="str">
        <f t="shared" si="5"/>
        <v>OPPW001624-R000-BI</v>
      </c>
      <c r="B327" t="s">
        <v>14</v>
      </c>
      <c r="C327" t="s">
        <v>280</v>
      </c>
      <c r="D327" t="s">
        <v>244</v>
      </c>
      <c r="E327" t="s">
        <v>281</v>
      </c>
      <c r="F327" t="s">
        <v>18</v>
      </c>
      <c r="G327" t="s">
        <v>49</v>
      </c>
      <c r="H327">
        <v>0</v>
      </c>
      <c r="I327">
        <v>700</v>
      </c>
      <c r="J327">
        <v>400</v>
      </c>
      <c r="K327">
        <v>280000</v>
      </c>
      <c r="L327">
        <v>0</v>
      </c>
      <c r="M327">
        <v>280000</v>
      </c>
      <c r="N327" t="s">
        <v>282</v>
      </c>
      <c r="O327" t="s">
        <v>21</v>
      </c>
    </row>
    <row r="328" spans="1:15" x14ac:dyDescent="0.3">
      <c r="A328" t="str">
        <f t="shared" si="5"/>
        <v>OPPW001624-R000-CC</v>
      </c>
      <c r="B328" t="s">
        <v>14</v>
      </c>
      <c r="C328" t="s">
        <v>280</v>
      </c>
      <c r="D328" t="s">
        <v>249</v>
      </c>
      <c r="E328" t="s">
        <v>283</v>
      </c>
      <c r="F328" t="s">
        <v>18</v>
      </c>
      <c r="G328" t="s">
        <v>284</v>
      </c>
      <c r="H328">
        <v>0</v>
      </c>
      <c r="I328">
        <v>500</v>
      </c>
      <c r="J328">
        <v>400</v>
      </c>
      <c r="K328">
        <v>200000</v>
      </c>
      <c r="L328">
        <v>0</v>
      </c>
      <c r="M328">
        <v>200000</v>
      </c>
      <c r="N328" t="s">
        <v>285</v>
      </c>
      <c r="O328" t="s">
        <v>21</v>
      </c>
    </row>
    <row r="329" spans="1:15" x14ac:dyDescent="0.3">
      <c r="A329" t="str">
        <f t="shared" si="5"/>
        <v>OPPW001624-R000-FK</v>
      </c>
      <c r="B329" t="s">
        <v>14</v>
      </c>
      <c r="C329" t="s">
        <v>280</v>
      </c>
      <c r="D329" t="s">
        <v>229</v>
      </c>
      <c r="E329" t="s">
        <v>286</v>
      </c>
      <c r="F329" t="s">
        <v>18</v>
      </c>
      <c r="G329" t="s">
        <v>49</v>
      </c>
      <c r="H329">
        <v>0</v>
      </c>
      <c r="I329">
        <v>200</v>
      </c>
      <c r="J329">
        <v>400</v>
      </c>
      <c r="K329">
        <v>80000</v>
      </c>
      <c r="L329">
        <v>0</v>
      </c>
      <c r="M329">
        <v>80000</v>
      </c>
      <c r="N329" t="s">
        <v>285</v>
      </c>
      <c r="O329" t="s">
        <v>21</v>
      </c>
    </row>
    <row r="330" spans="1:15" x14ac:dyDescent="0.3">
      <c r="A330" t="str">
        <f t="shared" si="5"/>
        <v>OPPW001624-R000-IV</v>
      </c>
      <c r="B330" t="s">
        <v>14</v>
      </c>
      <c r="C330" t="s">
        <v>280</v>
      </c>
      <c r="D330" t="s">
        <v>214</v>
      </c>
      <c r="E330" t="s">
        <v>287</v>
      </c>
      <c r="F330" t="s">
        <v>18</v>
      </c>
      <c r="G330" t="s">
        <v>210</v>
      </c>
      <c r="H330">
        <v>0</v>
      </c>
      <c r="I330">
        <v>1200</v>
      </c>
      <c r="J330">
        <v>390</v>
      </c>
      <c r="K330">
        <v>468000</v>
      </c>
      <c r="L330">
        <v>0</v>
      </c>
      <c r="M330">
        <v>468000</v>
      </c>
      <c r="N330" t="s">
        <v>288</v>
      </c>
      <c r="O330" t="s">
        <v>21</v>
      </c>
    </row>
    <row r="331" spans="1:15" x14ac:dyDescent="0.3">
      <c r="A331" t="str">
        <f t="shared" si="5"/>
        <v>OPPW001624-R000-IV</v>
      </c>
      <c r="B331" t="s">
        <v>14</v>
      </c>
      <c r="C331" t="s">
        <v>280</v>
      </c>
      <c r="D331" t="s">
        <v>214</v>
      </c>
      <c r="E331" t="s">
        <v>287</v>
      </c>
      <c r="F331" t="s">
        <v>18</v>
      </c>
      <c r="G331" t="s">
        <v>19</v>
      </c>
      <c r="H331">
        <v>0</v>
      </c>
      <c r="I331">
        <v>3190</v>
      </c>
      <c r="J331">
        <v>390</v>
      </c>
      <c r="K331">
        <v>1244100</v>
      </c>
      <c r="L331">
        <v>0</v>
      </c>
      <c r="M331">
        <v>1244100</v>
      </c>
      <c r="N331" t="s">
        <v>288</v>
      </c>
      <c r="O331" t="s">
        <v>21</v>
      </c>
    </row>
    <row r="332" spans="1:15" x14ac:dyDescent="0.3">
      <c r="A332" t="str">
        <f t="shared" si="5"/>
        <v>OPPW001624-R000-IV</v>
      </c>
      <c r="B332" t="s">
        <v>14</v>
      </c>
      <c r="C332" t="s">
        <v>280</v>
      </c>
      <c r="D332" t="s">
        <v>214</v>
      </c>
      <c r="E332" t="s">
        <v>287</v>
      </c>
      <c r="F332" t="s">
        <v>18</v>
      </c>
      <c r="G332" t="s">
        <v>83</v>
      </c>
      <c r="H332">
        <v>0</v>
      </c>
      <c r="I332">
        <v>600</v>
      </c>
      <c r="J332">
        <v>390</v>
      </c>
      <c r="K332">
        <v>234000</v>
      </c>
      <c r="L332">
        <v>0</v>
      </c>
      <c r="M332">
        <v>234000</v>
      </c>
      <c r="N332" t="s">
        <v>288</v>
      </c>
      <c r="O332" t="s">
        <v>21</v>
      </c>
    </row>
    <row r="333" spans="1:15" x14ac:dyDescent="0.3">
      <c r="A333" t="str">
        <f t="shared" si="5"/>
        <v>OPPW001624-R000-IV</v>
      </c>
      <c r="B333" t="s">
        <v>14</v>
      </c>
      <c r="C333" t="s">
        <v>280</v>
      </c>
      <c r="D333" t="s">
        <v>214</v>
      </c>
      <c r="E333" t="s">
        <v>287</v>
      </c>
      <c r="F333" t="s">
        <v>18</v>
      </c>
      <c r="G333" t="s">
        <v>35</v>
      </c>
      <c r="H333">
        <v>0</v>
      </c>
      <c r="I333">
        <v>2000</v>
      </c>
      <c r="J333">
        <v>390</v>
      </c>
      <c r="K333">
        <v>780000</v>
      </c>
      <c r="L333">
        <v>0</v>
      </c>
      <c r="M333">
        <v>780000</v>
      </c>
      <c r="N333" t="s">
        <v>288</v>
      </c>
      <c r="O333" t="s">
        <v>21</v>
      </c>
    </row>
    <row r="334" spans="1:15" x14ac:dyDescent="0.3">
      <c r="A334" t="str">
        <f t="shared" si="5"/>
        <v>OPPW001624-R000-IV</v>
      </c>
      <c r="B334" t="s">
        <v>14</v>
      </c>
      <c r="C334" t="s">
        <v>280</v>
      </c>
      <c r="D334" t="s">
        <v>214</v>
      </c>
      <c r="E334" t="s">
        <v>287</v>
      </c>
      <c r="F334" t="s">
        <v>18</v>
      </c>
      <c r="G334" t="s">
        <v>49</v>
      </c>
      <c r="H334">
        <v>0</v>
      </c>
      <c r="I334">
        <v>2000</v>
      </c>
      <c r="J334">
        <v>390</v>
      </c>
      <c r="K334">
        <v>780000</v>
      </c>
      <c r="L334">
        <v>0</v>
      </c>
      <c r="M334">
        <v>780000</v>
      </c>
      <c r="N334" t="s">
        <v>288</v>
      </c>
      <c r="O334" t="s">
        <v>21</v>
      </c>
    </row>
    <row r="335" spans="1:15" x14ac:dyDescent="0.3">
      <c r="A335" t="str">
        <f t="shared" si="5"/>
        <v>OPPW001624-R000-LL</v>
      </c>
      <c r="B335" t="s">
        <v>14</v>
      </c>
      <c r="C335" t="s">
        <v>280</v>
      </c>
      <c r="D335" t="s">
        <v>277</v>
      </c>
      <c r="E335" t="s">
        <v>289</v>
      </c>
      <c r="F335" t="s">
        <v>18</v>
      </c>
      <c r="G335" t="s">
        <v>23</v>
      </c>
      <c r="H335">
        <v>0</v>
      </c>
      <c r="I335">
        <v>200</v>
      </c>
      <c r="J335">
        <v>400</v>
      </c>
      <c r="K335">
        <v>80000</v>
      </c>
      <c r="L335">
        <v>0</v>
      </c>
      <c r="M335">
        <v>80000</v>
      </c>
      <c r="N335" t="s">
        <v>290</v>
      </c>
      <c r="O335" t="s">
        <v>21</v>
      </c>
    </row>
    <row r="336" spans="1:15" x14ac:dyDescent="0.3">
      <c r="A336" t="str">
        <f t="shared" si="5"/>
        <v>OPPW001624-R000-LT</v>
      </c>
      <c r="B336" t="s">
        <v>14</v>
      </c>
      <c r="C336" t="s">
        <v>280</v>
      </c>
      <c r="D336" t="s">
        <v>217</v>
      </c>
      <c r="E336" t="s">
        <v>291</v>
      </c>
      <c r="F336" t="s">
        <v>18</v>
      </c>
      <c r="G336" t="s">
        <v>23</v>
      </c>
      <c r="H336">
        <v>0</v>
      </c>
      <c r="I336">
        <v>600</v>
      </c>
      <c r="J336">
        <v>400</v>
      </c>
      <c r="K336">
        <v>240000</v>
      </c>
      <c r="L336">
        <v>0</v>
      </c>
      <c r="M336">
        <v>240000</v>
      </c>
      <c r="N336" t="s">
        <v>292</v>
      </c>
      <c r="O336" t="s">
        <v>21</v>
      </c>
    </row>
    <row r="337" spans="1:15" x14ac:dyDescent="0.3">
      <c r="A337" t="str">
        <f t="shared" si="5"/>
        <v>OPPW001624-R000-OHN</v>
      </c>
      <c r="B337" t="s">
        <v>14</v>
      </c>
      <c r="C337" t="s">
        <v>280</v>
      </c>
      <c r="D337" t="s">
        <v>251</v>
      </c>
      <c r="E337" t="s">
        <v>1727</v>
      </c>
      <c r="F337" t="s">
        <v>18</v>
      </c>
      <c r="G337" t="s">
        <v>239</v>
      </c>
      <c r="H337">
        <v>0</v>
      </c>
      <c r="I337">
        <v>300</v>
      </c>
      <c r="J337">
        <v>400</v>
      </c>
      <c r="K337">
        <v>120000</v>
      </c>
      <c r="L337">
        <v>0</v>
      </c>
      <c r="M337">
        <v>120000</v>
      </c>
      <c r="N337" t="s">
        <v>285</v>
      </c>
      <c r="O337" t="s">
        <v>21</v>
      </c>
    </row>
    <row r="338" spans="1:15" x14ac:dyDescent="0.3">
      <c r="A338" t="str">
        <f t="shared" si="5"/>
        <v>OPPW001624-R000-RCN</v>
      </c>
      <c r="B338" t="s">
        <v>14</v>
      </c>
      <c r="C338" t="s">
        <v>280</v>
      </c>
      <c r="D338" t="s">
        <v>253</v>
      </c>
      <c r="E338" t="s">
        <v>1728</v>
      </c>
      <c r="F338" t="s">
        <v>18</v>
      </c>
      <c r="G338" t="s">
        <v>239</v>
      </c>
      <c r="H338">
        <v>0</v>
      </c>
      <c r="I338">
        <v>400</v>
      </c>
      <c r="J338">
        <v>400</v>
      </c>
      <c r="K338">
        <v>160000</v>
      </c>
      <c r="L338">
        <v>0</v>
      </c>
      <c r="M338">
        <v>160000</v>
      </c>
      <c r="N338" t="s">
        <v>285</v>
      </c>
      <c r="O338" t="s">
        <v>21</v>
      </c>
    </row>
    <row r="339" spans="1:15" x14ac:dyDescent="0.3">
      <c r="A339" t="str">
        <f t="shared" si="5"/>
        <v>OPPW001624-R000-SP</v>
      </c>
      <c r="B339" t="s">
        <v>14</v>
      </c>
      <c r="C339" t="s">
        <v>280</v>
      </c>
      <c r="D339" t="s">
        <v>201</v>
      </c>
      <c r="E339" t="s">
        <v>293</v>
      </c>
      <c r="F339" t="s">
        <v>18</v>
      </c>
      <c r="G339" t="s">
        <v>49</v>
      </c>
      <c r="H339">
        <v>0</v>
      </c>
      <c r="I339">
        <v>800</v>
      </c>
      <c r="J339">
        <v>390</v>
      </c>
      <c r="K339">
        <v>312000</v>
      </c>
      <c r="L339">
        <v>0</v>
      </c>
      <c r="M339">
        <v>312000</v>
      </c>
      <c r="N339" t="s">
        <v>285</v>
      </c>
      <c r="O339" t="s">
        <v>21</v>
      </c>
    </row>
    <row r="340" spans="1:15" x14ac:dyDescent="0.3">
      <c r="A340" t="str">
        <f t="shared" si="5"/>
        <v>OPPW001624-R000-WW</v>
      </c>
      <c r="B340" t="s">
        <v>14</v>
      </c>
      <c r="C340" t="s">
        <v>280</v>
      </c>
      <c r="D340" t="s">
        <v>28</v>
      </c>
      <c r="E340" t="s">
        <v>294</v>
      </c>
      <c r="F340" t="s">
        <v>18</v>
      </c>
      <c r="G340" t="s">
        <v>49</v>
      </c>
      <c r="H340">
        <v>0</v>
      </c>
      <c r="I340">
        <v>1500</v>
      </c>
      <c r="J340">
        <v>390</v>
      </c>
      <c r="K340">
        <v>585000</v>
      </c>
      <c r="L340">
        <v>0</v>
      </c>
      <c r="M340">
        <v>585000</v>
      </c>
      <c r="N340" t="s">
        <v>295</v>
      </c>
      <c r="O340" t="s">
        <v>21</v>
      </c>
    </row>
    <row r="341" spans="1:15" x14ac:dyDescent="0.3">
      <c r="A341" t="str">
        <f t="shared" si="5"/>
        <v>OPPW001624-R000-WW</v>
      </c>
      <c r="B341" t="s">
        <v>14</v>
      </c>
      <c r="C341" t="s">
        <v>280</v>
      </c>
      <c r="D341" t="s">
        <v>28</v>
      </c>
      <c r="E341" t="s">
        <v>294</v>
      </c>
      <c r="F341" t="s">
        <v>18</v>
      </c>
      <c r="G341" t="s">
        <v>210</v>
      </c>
      <c r="H341">
        <v>0</v>
      </c>
      <c r="I341">
        <v>1600</v>
      </c>
      <c r="J341">
        <v>390</v>
      </c>
      <c r="K341">
        <v>624000</v>
      </c>
      <c r="L341">
        <v>0</v>
      </c>
      <c r="M341">
        <v>624000</v>
      </c>
      <c r="N341" t="s">
        <v>295</v>
      </c>
      <c r="O341" t="s">
        <v>21</v>
      </c>
    </row>
    <row r="342" spans="1:15" x14ac:dyDescent="0.3">
      <c r="A342" t="str">
        <f t="shared" si="5"/>
        <v>OPPW001624-R000-WW</v>
      </c>
      <c r="B342" t="s">
        <v>14</v>
      </c>
      <c r="C342" t="s">
        <v>280</v>
      </c>
      <c r="D342" t="s">
        <v>28</v>
      </c>
      <c r="E342" t="s">
        <v>294</v>
      </c>
      <c r="F342" t="s">
        <v>18</v>
      </c>
      <c r="G342" t="s">
        <v>35</v>
      </c>
      <c r="H342">
        <v>0</v>
      </c>
      <c r="I342">
        <v>1800</v>
      </c>
      <c r="J342">
        <v>390</v>
      </c>
      <c r="K342">
        <v>702000</v>
      </c>
      <c r="L342">
        <v>0</v>
      </c>
      <c r="M342">
        <v>702000</v>
      </c>
      <c r="N342" t="s">
        <v>295</v>
      </c>
      <c r="O342" t="s">
        <v>21</v>
      </c>
    </row>
    <row r="343" spans="1:15" x14ac:dyDescent="0.3">
      <c r="A343" t="str">
        <f t="shared" si="5"/>
        <v>OPPW001624-R000-WW</v>
      </c>
      <c r="B343" t="s">
        <v>14</v>
      </c>
      <c r="C343" t="s">
        <v>280</v>
      </c>
      <c r="D343" t="s">
        <v>28</v>
      </c>
      <c r="E343" t="s">
        <v>294</v>
      </c>
      <c r="F343" t="s">
        <v>18</v>
      </c>
      <c r="G343" t="s">
        <v>239</v>
      </c>
      <c r="H343">
        <v>0</v>
      </c>
      <c r="I343">
        <v>4000</v>
      </c>
      <c r="J343">
        <v>390</v>
      </c>
      <c r="K343">
        <v>1560000</v>
      </c>
      <c r="L343">
        <v>0</v>
      </c>
      <c r="M343">
        <v>1560000</v>
      </c>
      <c r="N343" t="s">
        <v>295</v>
      </c>
      <c r="O343" t="s">
        <v>21</v>
      </c>
    </row>
    <row r="344" spans="1:15" x14ac:dyDescent="0.3">
      <c r="A344" t="str">
        <f t="shared" si="5"/>
        <v>OPPW001624-R000-WW</v>
      </c>
      <c r="B344" t="s">
        <v>14</v>
      </c>
      <c r="C344" t="s">
        <v>280</v>
      </c>
      <c r="D344" t="s">
        <v>28</v>
      </c>
      <c r="E344" t="s">
        <v>294</v>
      </c>
      <c r="F344" t="s">
        <v>18</v>
      </c>
      <c r="G344" t="s">
        <v>248</v>
      </c>
      <c r="H344">
        <v>0</v>
      </c>
      <c r="I344">
        <v>5440</v>
      </c>
      <c r="J344">
        <v>390</v>
      </c>
      <c r="K344">
        <v>2121600</v>
      </c>
      <c r="L344">
        <v>0</v>
      </c>
      <c r="M344">
        <v>2121600</v>
      </c>
      <c r="N344" t="s">
        <v>295</v>
      </c>
      <c r="O344" t="s">
        <v>21</v>
      </c>
    </row>
    <row r="345" spans="1:15" x14ac:dyDescent="0.3">
      <c r="A345" t="str">
        <f t="shared" si="5"/>
        <v>OPPW001624-R000-WW</v>
      </c>
      <c r="B345" t="s">
        <v>14</v>
      </c>
      <c r="C345" t="s">
        <v>280</v>
      </c>
      <c r="D345" t="s">
        <v>28</v>
      </c>
      <c r="E345" t="s">
        <v>294</v>
      </c>
      <c r="F345" t="s">
        <v>18</v>
      </c>
      <c r="G345" t="s">
        <v>23</v>
      </c>
      <c r="H345">
        <v>0</v>
      </c>
      <c r="I345">
        <v>1000</v>
      </c>
      <c r="J345">
        <v>390</v>
      </c>
      <c r="K345">
        <v>390000</v>
      </c>
      <c r="L345">
        <v>0</v>
      </c>
      <c r="M345">
        <v>390000</v>
      </c>
      <c r="N345" t="s">
        <v>295</v>
      </c>
      <c r="O345" t="s">
        <v>21</v>
      </c>
    </row>
    <row r="346" spans="1:15" x14ac:dyDescent="0.3">
      <c r="A346" t="str">
        <f t="shared" si="5"/>
        <v>OPPW001624-R000-WW</v>
      </c>
      <c r="B346" t="s">
        <v>14</v>
      </c>
      <c r="C346" t="s">
        <v>280</v>
      </c>
      <c r="D346" t="s">
        <v>28</v>
      </c>
      <c r="E346" t="s">
        <v>294</v>
      </c>
      <c r="F346" t="s">
        <v>18</v>
      </c>
      <c r="G346" t="s">
        <v>19</v>
      </c>
      <c r="H346">
        <v>0</v>
      </c>
      <c r="I346">
        <v>1800</v>
      </c>
      <c r="J346">
        <v>390</v>
      </c>
      <c r="K346">
        <v>702000</v>
      </c>
      <c r="L346">
        <v>0</v>
      </c>
      <c r="M346">
        <v>702000</v>
      </c>
      <c r="N346" t="s">
        <v>295</v>
      </c>
      <c r="O346" t="s">
        <v>21</v>
      </c>
    </row>
    <row r="347" spans="1:15" x14ac:dyDescent="0.3">
      <c r="A347" t="str">
        <f t="shared" si="5"/>
        <v>OPPW001624-R000-WWC</v>
      </c>
      <c r="B347" t="s">
        <v>14</v>
      </c>
      <c r="C347" t="s">
        <v>280</v>
      </c>
      <c r="D347" t="s">
        <v>296</v>
      </c>
      <c r="E347" t="s">
        <v>297</v>
      </c>
      <c r="F347" t="s">
        <v>18</v>
      </c>
      <c r="G347" t="s">
        <v>23</v>
      </c>
      <c r="H347">
        <v>0</v>
      </c>
      <c r="I347">
        <v>300</v>
      </c>
      <c r="J347">
        <v>400</v>
      </c>
      <c r="K347">
        <v>120000</v>
      </c>
      <c r="L347">
        <v>0</v>
      </c>
      <c r="M347">
        <v>120000</v>
      </c>
      <c r="N347" t="s">
        <v>292</v>
      </c>
      <c r="O347" t="s">
        <v>21</v>
      </c>
    </row>
    <row r="348" spans="1:15" x14ac:dyDescent="0.3">
      <c r="A348" t="str">
        <f t="shared" si="5"/>
        <v>OPPW001655-R000-WW</v>
      </c>
      <c r="B348" t="s">
        <v>14</v>
      </c>
      <c r="C348" t="s">
        <v>298</v>
      </c>
      <c r="D348" t="s">
        <v>28</v>
      </c>
      <c r="E348" t="s">
        <v>299</v>
      </c>
      <c r="F348" t="s">
        <v>18</v>
      </c>
      <c r="G348" t="s">
        <v>35</v>
      </c>
      <c r="H348">
        <v>0</v>
      </c>
      <c r="I348">
        <v>800</v>
      </c>
      <c r="J348">
        <v>280</v>
      </c>
      <c r="K348">
        <v>224000</v>
      </c>
      <c r="L348">
        <v>0</v>
      </c>
      <c r="M348">
        <v>224000</v>
      </c>
      <c r="N348" t="s">
        <v>300</v>
      </c>
      <c r="O348" t="s">
        <v>21</v>
      </c>
    </row>
    <row r="349" spans="1:15" x14ac:dyDescent="0.3">
      <c r="A349" t="str">
        <f t="shared" si="5"/>
        <v>OPPW001711-R000-BK</v>
      </c>
      <c r="B349" t="s">
        <v>14</v>
      </c>
      <c r="C349" t="s">
        <v>302</v>
      </c>
      <c r="D349" t="s">
        <v>31</v>
      </c>
      <c r="E349" t="s">
        <v>1729</v>
      </c>
      <c r="F349" t="s">
        <v>18</v>
      </c>
      <c r="G349" t="s">
        <v>22</v>
      </c>
      <c r="H349">
        <v>0</v>
      </c>
      <c r="I349">
        <v>2</v>
      </c>
      <c r="J349">
        <v>500</v>
      </c>
      <c r="K349">
        <v>1000</v>
      </c>
      <c r="L349">
        <v>0</v>
      </c>
      <c r="M349">
        <v>1000</v>
      </c>
      <c r="N349" t="s">
        <v>304</v>
      </c>
      <c r="O349" t="s">
        <v>21</v>
      </c>
    </row>
    <row r="350" spans="1:15" x14ac:dyDescent="0.3">
      <c r="A350" t="str">
        <f t="shared" si="5"/>
        <v>OPPW001711-R000-TS</v>
      </c>
      <c r="B350" t="s">
        <v>14</v>
      </c>
      <c r="C350" t="s">
        <v>302</v>
      </c>
      <c r="D350" t="s">
        <v>168</v>
      </c>
      <c r="E350" t="s">
        <v>303</v>
      </c>
      <c r="F350" t="s">
        <v>18</v>
      </c>
      <c r="G350" t="s">
        <v>23</v>
      </c>
      <c r="H350">
        <v>0</v>
      </c>
      <c r="I350">
        <v>150</v>
      </c>
      <c r="J350">
        <v>520</v>
      </c>
      <c r="K350">
        <v>78000</v>
      </c>
      <c r="L350">
        <v>0</v>
      </c>
      <c r="M350">
        <v>78000</v>
      </c>
      <c r="N350" t="s">
        <v>304</v>
      </c>
      <c r="O350" t="s">
        <v>21</v>
      </c>
    </row>
    <row r="351" spans="1:15" x14ac:dyDescent="0.3">
      <c r="A351" t="str">
        <f t="shared" si="5"/>
        <v>OPPW001711-R000-TS</v>
      </c>
      <c r="B351" t="s">
        <v>14</v>
      </c>
      <c r="C351" t="s">
        <v>302</v>
      </c>
      <c r="D351" t="s">
        <v>168</v>
      </c>
      <c r="E351" t="s">
        <v>303</v>
      </c>
      <c r="F351" t="s">
        <v>18</v>
      </c>
      <c r="G351" t="s">
        <v>63</v>
      </c>
      <c r="H351">
        <v>0</v>
      </c>
      <c r="I351">
        <v>150</v>
      </c>
      <c r="J351">
        <v>500</v>
      </c>
      <c r="K351">
        <v>75000</v>
      </c>
      <c r="L351">
        <v>0</v>
      </c>
      <c r="M351">
        <v>75000</v>
      </c>
      <c r="N351" t="s">
        <v>304</v>
      </c>
      <c r="O351" t="s">
        <v>21</v>
      </c>
    </row>
    <row r="352" spans="1:15" x14ac:dyDescent="0.3">
      <c r="A352" t="str">
        <f t="shared" si="5"/>
        <v>OPPW001711-R000-TS</v>
      </c>
      <c r="B352" t="s">
        <v>14</v>
      </c>
      <c r="C352" t="s">
        <v>302</v>
      </c>
      <c r="D352" t="s">
        <v>168</v>
      </c>
      <c r="E352" t="s">
        <v>303</v>
      </c>
      <c r="F352" t="s">
        <v>18</v>
      </c>
      <c r="G352" t="s">
        <v>63</v>
      </c>
      <c r="H352">
        <v>0</v>
      </c>
      <c r="I352">
        <v>150</v>
      </c>
      <c r="J352">
        <v>520</v>
      </c>
      <c r="K352">
        <v>78000</v>
      </c>
      <c r="L352">
        <v>0</v>
      </c>
      <c r="M352">
        <v>78000</v>
      </c>
      <c r="N352" t="s">
        <v>304</v>
      </c>
      <c r="O352" t="s">
        <v>21</v>
      </c>
    </row>
    <row r="353" spans="1:15" x14ac:dyDescent="0.3">
      <c r="A353" t="str">
        <f t="shared" si="5"/>
        <v>OPPW001713-R000-CLS</v>
      </c>
      <c r="B353" t="s">
        <v>14</v>
      </c>
      <c r="C353" t="s">
        <v>1730</v>
      </c>
      <c r="D353" t="s">
        <v>40</v>
      </c>
      <c r="E353" t="s">
        <v>1731</v>
      </c>
      <c r="F353" t="s">
        <v>18</v>
      </c>
      <c r="G353" t="s">
        <v>19</v>
      </c>
      <c r="H353">
        <v>0</v>
      </c>
      <c r="I353">
        <v>1500</v>
      </c>
      <c r="J353">
        <v>90</v>
      </c>
      <c r="K353">
        <v>135000</v>
      </c>
      <c r="L353">
        <v>0</v>
      </c>
      <c r="M353">
        <v>135000</v>
      </c>
      <c r="N353" t="s">
        <v>1732</v>
      </c>
      <c r="O353" t="s">
        <v>21</v>
      </c>
    </row>
    <row r="354" spans="1:15" x14ac:dyDescent="0.3">
      <c r="A354" t="str">
        <f t="shared" si="5"/>
        <v>OPPW001713-R000-CLS</v>
      </c>
      <c r="B354" t="s">
        <v>14</v>
      </c>
      <c r="C354" t="s">
        <v>1730</v>
      </c>
      <c r="D354" t="s">
        <v>40</v>
      </c>
      <c r="E354" t="s">
        <v>1731</v>
      </c>
      <c r="F354" t="s">
        <v>18</v>
      </c>
      <c r="G354" t="s">
        <v>49</v>
      </c>
      <c r="H354">
        <v>0</v>
      </c>
      <c r="I354">
        <v>500</v>
      </c>
      <c r="J354">
        <v>90</v>
      </c>
      <c r="K354">
        <v>45000</v>
      </c>
      <c r="L354">
        <v>0</v>
      </c>
      <c r="M354">
        <v>45000</v>
      </c>
      <c r="N354" t="s">
        <v>1732</v>
      </c>
      <c r="O354" t="s">
        <v>21</v>
      </c>
    </row>
    <row r="355" spans="1:15" x14ac:dyDescent="0.3">
      <c r="A355" t="str">
        <f t="shared" si="5"/>
        <v>OPPW001818-R000-GY</v>
      </c>
      <c r="B355" t="s">
        <v>14</v>
      </c>
      <c r="C355" t="s">
        <v>305</v>
      </c>
      <c r="D355" t="s">
        <v>47</v>
      </c>
      <c r="E355" t="s">
        <v>306</v>
      </c>
      <c r="F355" t="s">
        <v>18</v>
      </c>
      <c r="G355" t="s">
        <v>35</v>
      </c>
      <c r="H355">
        <v>0</v>
      </c>
      <c r="I355">
        <v>20</v>
      </c>
      <c r="J355">
        <v>530</v>
      </c>
      <c r="K355">
        <v>10600</v>
      </c>
      <c r="L355">
        <v>0</v>
      </c>
      <c r="M355">
        <v>10600</v>
      </c>
      <c r="N355" t="s">
        <v>307</v>
      </c>
      <c r="O355" t="s">
        <v>21</v>
      </c>
    </row>
    <row r="356" spans="1:15" x14ac:dyDescent="0.3">
      <c r="A356" t="str">
        <f t="shared" si="5"/>
        <v>OPPW001848-R000-UG</v>
      </c>
      <c r="B356" t="s">
        <v>14</v>
      </c>
      <c r="C356" t="s">
        <v>308</v>
      </c>
      <c r="D356" t="s">
        <v>309</v>
      </c>
      <c r="E356" t="s">
        <v>310</v>
      </c>
      <c r="F356" t="s">
        <v>18</v>
      </c>
      <c r="G356" t="s">
        <v>23</v>
      </c>
      <c r="H356">
        <v>0</v>
      </c>
      <c r="I356">
        <v>35</v>
      </c>
      <c r="J356">
        <v>1700</v>
      </c>
      <c r="K356">
        <v>59500</v>
      </c>
      <c r="L356">
        <v>0</v>
      </c>
      <c r="M356">
        <v>59500</v>
      </c>
      <c r="N356" t="s">
        <v>311</v>
      </c>
      <c r="O356" t="s">
        <v>21</v>
      </c>
    </row>
    <row r="357" spans="1:15" x14ac:dyDescent="0.3">
      <c r="A357" t="str">
        <f t="shared" si="5"/>
        <v>OPPW001851-R000-BK</v>
      </c>
      <c r="B357" t="s">
        <v>14</v>
      </c>
      <c r="C357" t="s">
        <v>1733</v>
      </c>
      <c r="D357" t="s">
        <v>31</v>
      </c>
      <c r="E357" t="s">
        <v>1734</v>
      </c>
      <c r="F357" t="s">
        <v>18</v>
      </c>
      <c r="G357" t="s">
        <v>29</v>
      </c>
      <c r="H357">
        <v>0</v>
      </c>
      <c r="I357">
        <v>1</v>
      </c>
      <c r="J357">
        <v>3630</v>
      </c>
      <c r="K357">
        <v>3630</v>
      </c>
      <c r="L357">
        <v>0</v>
      </c>
      <c r="M357">
        <v>3630</v>
      </c>
      <c r="N357" t="s">
        <v>1735</v>
      </c>
      <c r="O357" t="s">
        <v>21</v>
      </c>
    </row>
    <row r="358" spans="1:15" x14ac:dyDescent="0.3">
      <c r="A358" t="str">
        <f t="shared" si="5"/>
        <v>OPPW001935-R000-WW</v>
      </c>
      <c r="B358" t="s">
        <v>14</v>
      </c>
      <c r="C358" t="s">
        <v>312</v>
      </c>
      <c r="D358" t="s">
        <v>28</v>
      </c>
      <c r="E358" t="s">
        <v>313</v>
      </c>
      <c r="F358" t="s">
        <v>18</v>
      </c>
      <c r="G358" t="s">
        <v>29</v>
      </c>
      <c r="H358">
        <v>0</v>
      </c>
      <c r="I358">
        <v>22</v>
      </c>
      <c r="J358">
        <v>320</v>
      </c>
      <c r="K358">
        <v>7040</v>
      </c>
      <c r="L358">
        <v>0</v>
      </c>
      <c r="M358">
        <v>7040</v>
      </c>
      <c r="N358" t="s">
        <v>314</v>
      </c>
      <c r="O358" t="s">
        <v>21</v>
      </c>
    </row>
    <row r="359" spans="1:15" x14ac:dyDescent="0.3">
      <c r="A359" t="str">
        <f t="shared" si="5"/>
        <v>OPPW001935-R000-WW</v>
      </c>
      <c r="B359" t="s">
        <v>14</v>
      </c>
      <c r="C359" t="s">
        <v>312</v>
      </c>
      <c r="D359" t="s">
        <v>28</v>
      </c>
      <c r="E359" t="s">
        <v>313</v>
      </c>
      <c r="F359" t="s">
        <v>18</v>
      </c>
      <c r="G359" t="s">
        <v>239</v>
      </c>
      <c r="H359">
        <v>0</v>
      </c>
      <c r="I359">
        <v>13200</v>
      </c>
      <c r="J359">
        <v>320</v>
      </c>
      <c r="K359">
        <v>4224000</v>
      </c>
      <c r="L359">
        <v>0</v>
      </c>
      <c r="M359">
        <v>4224000</v>
      </c>
      <c r="N359" t="s">
        <v>314</v>
      </c>
      <c r="O359" t="s">
        <v>21</v>
      </c>
    </row>
    <row r="360" spans="1:15" x14ac:dyDescent="0.3">
      <c r="A360" t="str">
        <f t="shared" si="5"/>
        <v>OPPW002042-R000-CLS</v>
      </c>
      <c r="B360" t="s">
        <v>14</v>
      </c>
      <c r="C360" t="s">
        <v>315</v>
      </c>
      <c r="D360" t="s">
        <v>40</v>
      </c>
      <c r="E360" t="s">
        <v>316</v>
      </c>
      <c r="F360" t="s">
        <v>18</v>
      </c>
      <c r="G360" t="s">
        <v>22</v>
      </c>
      <c r="H360">
        <v>0</v>
      </c>
      <c r="I360">
        <v>10</v>
      </c>
      <c r="J360">
        <v>110</v>
      </c>
      <c r="K360">
        <v>1100</v>
      </c>
      <c r="L360">
        <v>0</v>
      </c>
      <c r="M360">
        <v>1100</v>
      </c>
      <c r="N360" t="s">
        <v>317</v>
      </c>
      <c r="O360" t="s">
        <v>21</v>
      </c>
    </row>
    <row r="361" spans="1:15" x14ac:dyDescent="0.3">
      <c r="A361" t="str">
        <f t="shared" si="5"/>
        <v>OPPW002045-R000-XX</v>
      </c>
      <c r="B361" t="s">
        <v>14</v>
      </c>
      <c r="C361" t="s">
        <v>1736</v>
      </c>
      <c r="D361" t="s">
        <v>16</v>
      </c>
      <c r="E361" t="s">
        <v>1737</v>
      </c>
      <c r="F361" t="s">
        <v>18</v>
      </c>
      <c r="G361" t="s">
        <v>29</v>
      </c>
      <c r="H361">
        <v>0</v>
      </c>
      <c r="I361">
        <v>10</v>
      </c>
      <c r="J361">
        <v>150</v>
      </c>
      <c r="K361">
        <v>1500</v>
      </c>
      <c r="L361">
        <v>0</v>
      </c>
      <c r="M361">
        <v>1500</v>
      </c>
      <c r="N361" t="s">
        <v>1738</v>
      </c>
      <c r="O361" t="s">
        <v>21</v>
      </c>
    </row>
    <row r="362" spans="1:15" x14ac:dyDescent="0.3">
      <c r="A362" t="str">
        <f t="shared" si="5"/>
        <v>OPPW002047-R000-UG</v>
      </c>
      <c r="B362" t="s">
        <v>14</v>
      </c>
      <c r="C362" t="s">
        <v>318</v>
      </c>
      <c r="D362" t="s">
        <v>309</v>
      </c>
      <c r="E362" t="s">
        <v>319</v>
      </c>
      <c r="F362" t="s">
        <v>18</v>
      </c>
      <c r="G362" t="s">
        <v>35</v>
      </c>
      <c r="H362">
        <v>0</v>
      </c>
      <c r="I362">
        <v>1</v>
      </c>
      <c r="J362">
        <v>2650</v>
      </c>
      <c r="K362">
        <v>2650</v>
      </c>
      <c r="L362">
        <v>0</v>
      </c>
      <c r="M362">
        <v>2650</v>
      </c>
      <c r="N362" t="s">
        <v>320</v>
      </c>
      <c r="O362" t="s">
        <v>21</v>
      </c>
    </row>
    <row r="363" spans="1:15" x14ac:dyDescent="0.3">
      <c r="A363" t="str">
        <f t="shared" si="5"/>
        <v>OPPW002048-R000-XX</v>
      </c>
      <c r="B363" t="s">
        <v>14</v>
      </c>
      <c r="C363" t="s">
        <v>1739</v>
      </c>
      <c r="D363" t="s">
        <v>16</v>
      </c>
      <c r="E363" t="s">
        <v>1740</v>
      </c>
      <c r="F363" t="s">
        <v>18</v>
      </c>
      <c r="G363" t="s">
        <v>29</v>
      </c>
      <c r="H363">
        <v>0</v>
      </c>
      <c r="I363">
        <v>10</v>
      </c>
      <c r="J363">
        <v>73</v>
      </c>
      <c r="K363">
        <v>730</v>
      </c>
      <c r="L363">
        <v>0</v>
      </c>
      <c r="M363">
        <v>730</v>
      </c>
      <c r="N363" t="s">
        <v>1738</v>
      </c>
      <c r="O363" t="s">
        <v>21</v>
      </c>
    </row>
    <row r="364" spans="1:15" x14ac:dyDescent="0.3">
      <c r="A364" t="str">
        <f t="shared" si="5"/>
        <v>OPPW002049-R000-XX</v>
      </c>
      <c r="B364" t="s">
        <v>14</v>
      </c>
      <c r="C364" t="s">
        <v>321</v>
      </c>
      <c r="D364" t="s">
        <v>16</v>
      </c>
      <c r="E364" t="s">
        <v>322</v>
      </c>
      <c r="F364" t="s">
        <v>18</v>
      </c>
      <c r="G364" t="s">
        <v>23</v>
      </c>
      <c r="H364">
        <v>0</v>
      </c>
      <c r="I364">
        <v>1000</v>
      </c>
      <c r="J364">
        <v>130</v>
      </c>
      <c r="K364">
        <v>130000</v>
      </c>
      <c r="L364">
        <v>0</v>
      </c>
      <c r="M364">
        <v>130000</v>
      </c>
      <c r="N364" t="s">
        <v>323</v>
      </c>
      <c r="O364" t="s">
        <v>21</v>
      </c>
    </row>
    <row r="365" spans="1:15" x14ac:dyDescent="0.3">
      <c r="A365" t="str">
        <f t="shared" si="5"/>
        <v>OPPW002049-R000-XX</v>
      </c>
      <c r="B365" t="s">
        <v>14</v>
      </c>
      <c r="C365" t="s">
        <v>321</v>
      </c>
      <c r="D365" t="s">
        <v>16</v>
      </c>
      <c r="E365" t="s">
        <v>322</v>
      </c>
      <c r="F365" t="s">
        <v>18</v>
      </c>
      <c r="G365" t="s">
        <v>29</v>
      </c>
      <c r="H365">
        <v>0</v>
      </c>
      <c r="I365">
        <v>2</v>
      </c>
      <c r="J365">
        <v>130</v>
      </c>
      <c r="K365">
        <v>260</v>
      </c>
      <c r="L365">
        <v>0</v>
      </c>
      <c r="M365">
        <v>260</v>
      </c>
      <c r="N365" t="s">
        <v>323</v>
      </c>
      <c r="O365" t="s">
        <v>21</v>
      </c>
    </row>
    <row r="366" spans="1:15" x14ac:dyDescent="0.3">
      <c r="A366" t="str">
        <f t="shared" si="5"/>
        <v>OPPW002049-R000-XX</v>
      </c>
      <c r="B366" t="s">
        <v>14</v>
      </c>
      <c r="C366" t="s">
        <v>321</v>
      </c>
      <c r="D366" t="s">
        <v>16</v>
      </c>
      <c r="E366" t="s">
        <v>322</v>
      </c>
      <c r="F366" t="s">
        <v>18</v>
      </c>
      <c r="G366" t="s">
        <v>120</v>
      </c>
      <c r="H366">
        <v>0</v>
      </c>
      <c r="I366">
        <v>600</v>
      </c>
      <c r="J366">
        <v>130</v>
      </c>
      <c r="K366">
        <v>78000</v>
      </c>
      <c r="L366">
        <v>0</v>
      </c>
      <c r="M366">
        <v>78000</v>
      </c>
      <c r="N366" t="s">
        <v>323</v>
      </c>
      <c r="O366" t="s">
        <v>21</v>
      </c>
    </row>
    <row r="367" spans="1:15" x14ac:dyDescent="0.3">
      <c r="A367" t="str">
        <f t="shared" si="5"/>
        <v>OPPW002051-R000-GY</v>
      </c>
      <c r="B367" t="s">
        <v>14</v>
      </c>
      <c r="C367" t="s">
        <v>324</v>
      </c>
      <c r="D367" t="s">
        <v>47</v>
      </c>
      <c r="E367" t="s">
        <v>325</v>
      </c>
      <c r="F367" t="s">
        <v>18</v>
      </c>
      <c r="G367" t="s">
        <v>22</v>
      </c>
      <c r="H367">
        <v>0</v>
      </c>
      <c r="I367">
        <v>200</v>
      </c>
      <c r="J367">
        <v>880</v>
      </c>
      <c r="K367">
        <v>176000</v>
      </c>
      <c r="L367">
        <v>0</v>
      </c>
      <c r="M367">
        <v>176000</v>
      </c>
      <c r="O367" t="s">
        <v>21</v>
      </c>
    </row>
    <row r="368" spans="1:15" x14ac:dyDescent="0.3">
      <c r="A368" t="str">
        <f t="shared" si="5"/>
        <v>OPPW002051-R000-GY</v>
      </c>
      <c r="B368" t="s">
        <v>14</v>
      </c>
      <c r="C368" t="s">
        <v>324</v>
      </c>
      <c r="D368" t="s">
        <v>47</v>
      </c>
      <c r="E368" t="s">
        <v>325</v>
      </c>
      <c r="F368" t="s">
        <v>18</v>
      </c>
      <c r="G368" t="s">
        <v>174</v>
      </c>
      <c r="H368">
        <v>0</v>
      </c>
      <c r="I368">
        <v>700</v>
      </c>
      <c r="J368">
        <v>840</v>
      </c>
      <c r="K368">
        <v>588000</v>
      </c>
      <c r="L368">
        <v>0</v>
      </c>
      <c r="M368">
        <v>588000</v>
      </c>
      <c r="O368" t="s">
        <v>21</v>
      </c>
    </row>
    <row r="369" spans="1:15" x14ac:dyDescent="0.3">
      <c r="A369" t="str">
        <f t="shared" si="5"/>
        <v>OPPW002054-R000-XX</v>
      </c>
      <c r="B369" t="s">
        <v>14</v>
      </c>
      <c r="C369" t="s">
        <v>326</v>
      </c>
      <c r="D369" t="s">
        <v>16</v>
      </c>
      <c r="E369" t="s">
        <v>327</v>
      </c>
      <c r="F369" t="s">
        <v>18</v>
      </c>
      <c r="G369" t="s">
        <v>68</v>
      </c>
      <c r="H369">
        <v>0</v>
      </c>
      <c r="I369">
        <v>300</v>
      </c>
      <c r="J369">
        <v>340</v>
      </c>
      <c r="K369">
        <v>102000</v>
      </c>
      <c r="L369">
        <v>0</v>
      </c>
      <c r="M369">
        <v>102000</v>
      </c>
      <c r="N369" t="s">
        <v>328</v>
      </c>
      <c r="O369" t="s">
        <v>21</v>
      </c>
    </row>
    <row r="370" spans="1:15" x14ac:dyDescent="0.3">
      <c r="A370" t="str">
        <f t="shared" si="5"/>
        <v>OPPW002054-R000-XX</v>
      </c>
      <c r="B370" t="s">
        <v>14</v>
      </c>
      <c r="C370" t="s">
        <v>326</v>
      </c>
      <c r="D370" t="s">
        <v>16</v>
      </c>
      <c r="E370" t="s">
        <v>327</v>
      </c>
      <c r="F370" t="s">
        <v>18</v>
      </c>
      <c r="G370" t="s">
        <v>174</v>
      </c>
      <c r="H370">
        <v>0</v>
      </c>
      <c r="I370">
        <v>8700</v>
      </c>
      <c r="J370">
        <v>340</v>
      </c>
      <c r="K370">
        <v>2958000</v>
      </c>
      <c r="L370">
        <v>0</v>
      </c>
      <c r="M370">
        <v>2958000</v>
      </c>
      <c r="N370" t="s">
        <v>328</v>
      </c>
      <c r="O370" t="s">
        <v>21</v>
      </c>
    </row>
    <row r="371" spans="1:15" x14ac:dyDescent="0.3">
      <c r="A371" t="str">
        <f t="shared" si="5"/>
        <v>OPPW002054-R000-XX</v>
      </c>
      <c r="B371" t="s">
        <v>14</v>
      </c>
      <c r="C371" t="s">
        <v>326</v>
      </c>
      <c r="D371" t="s">
        <v>16</v>
      </c>
      <c r="E371" t="s">
        <v>327</v>
      </c>
      <c r="F371" t="s">
        <v>18</v>
      </c>
      <c r="G371" t="s">
        <v>29</v>
      </c>
      <c r="H371">
        <v>0</v>
      </c>
      <c r="I371">
        <v>4</v>
      </c>
      <c r="J371">
        <v>340</v>
      </c>
      <c r="K371">
        <v>1360</v>
      </c>
      <c r="L371">
        <v>0</v>
      </c>
      <c r="M371">
        <v>1360</v>
      </c>
      <c r="N371" t="s">
        <v>328</v>
      </c>
      <c r="O371" t="s">
        <v>21</v>
      </c>
    </row>
    <row r="372" spans="1:15" x14ac:dyDescent="0.3">
      <c r="A372" t="str">
        <f t="shared" si="5"/>
        <v>OPPW002054-R000-XX</v>
      </c>
      <c r="B372" t="s">
        <v>14</v>
      </c>
      <c r="C372" t="s">
        <v>326</v>
      </c>
      <c r="D372" t="s">
        <v>16</v>
      </c>
      <c r="E372" t="s">
        <v>327</v>
      </c>
      <c r="F372" t="s">
        <v>18</v>
      </c>
      <c r="G372" t="s">
        <v>83</v>
      </c>
      <c r="H372">
        <v>0</v>
      </c>
      <c r="I372">
        <v>300</v>
      </c>
      <c r="J372">
        <v>340</v>
      </c>
      <c r="K372">
        <v>102000</v>
      </c>
      <c r="L372">
        <v>0</v>
      </c>
      <c r="M372">
        <v>102000</v>
      </c>
      <c r="N372" t="s">
        <v>328</v>
      </c>
      <c r="O372" t="s">
        <v>21</v>
      </c>
    </row>
    <row r="373" spans="1:15" x14ac:dyDescent="0.3">
      <c r="A373" t="str">
        <f t="shared" si="5"/>
        <v>OPPW002054-R000-XX</v>
      </c>
      <c r="B373" t="s">
        <v>14</v>
      </c>
      <c r="C373" t="s">
        <v>326</v>
      </c>
      <c r="D373" t="s">
        <v>16</v>
      </c>
      <c r="E373" t="s">
        <v>327</v>
      </c>
      <c r="F373" t="s">
        <v>18</v>
      </c>
      <c r="G373" t="s">
        <v>23</v>
      </c>
      <c r="H373">
        <v>0</v>
      </c>
      <c r="I373">
        <v>1000</v>
      </c>
      <c r="J373">
        <v>340</v>
      </c>
      <c r="K373">
        <v>340000</v>
      </c>
      <c r="L373">
        <v>0</v>
      </c>
      <c r="M373">
        <v>340000</v>
      </c>
      <c r="N373" t="s">
        <v>328</v>
      </c>
      <c r="O373" t="s">
        <v>21</v>
      </c>
    </row>
    <row r="374" spans="1:15" x14ac:dyDescent="0.3">
      <c r="A374" t="str">
        <f t="shared" si="5"/>
        <v>OPPW002068-R000-WW</v>
      </c>
      <c r="B374" t="s">
        <v>14</v>
      </c>
      <c r="C374" t="s">
        <v>329</v>
      </c>
      <c r="D374" t="s">
        <v>28</v>
      </c>
      <c r="E374" t="s">
        <v>330</v>
      </c>
      <c r="F374" t="s">
        <v>18</v>
      </c>
      <c r="G374" t="s">
        <v>35</v>
      </c>
      <c r="H374">
        <v>0</v>
      </c>
      <c r="I374">
        <v>3000</v>
      </c>
      <c r="J374">
        <v>160</v>
      </c>
      <c r="K374">
        <v>480000</v>
      </c>
      <c r="L374">
        <v>0</v>
      </c>
      <c r="M374">
        <v>480000</v>
      </c>
      <c r="N374" t="s">
        <v>331</v>
      </c>
      <c r="O374" t="s">
        <v>21</v>
      </c>
    </row>
    <row r="375" spans="1:15" x14ac:dyDescent="0.3">
      <c r="A375" t="str">
        <f t="shared" si="5"/>
        <v>OPPW002068-R000-WW</v>
      </c>
      <c r="B375" t="s">
        <v>14</v>
      </c>
      <c r="C375" t="s">
        <v>329</v>
      </c>
      <c r="D375" t="s">
        <v>28</v>
      </c>
      <c r="E375" t="s">
        <v>330</v>
      </c>
      <c r="F375" t="s">
        <v>18</v>
      </c>
      <c r="G375" t="s">
        <v>210</v>
      </c>
      <c r="H375">
        <v>0</v>
      </c>
      <c r="I375">
        <v>3000</v>
      </c>
      <c r="J375">
        <v>160</v>
      </c>
      <c r="K375">
        <v>480000</v>
      </c>
      <c r="L375">
        <v>0</v>
      </c>
      <c r="M375">
        <v>480000</v>
      </c>
      <c r="N375" t="s">
        <v>331</v>
      </c>
      <c r="O375" t="s">
        <v>21</v>
      </c>
    </row>
    <row r="376" spans="1:15" x14ac:dyDescent="0.3">
      <c r="A376" t="str">
        <f t="shared" si="5"/>
        <v>OPPW002352-R000-BK</v>
      </c>
      <c r="B376" t="s">
        <v>14</v>
      </c>
      <c r="C376" t="s">
        <v>332</v>
      </c>
      <c r="D376" t="s">
        <v>31</v>
      </c>
      <c r="E376" t="s">
        <v>333</v>
      </c>
      <c r="F376" t="s">
        <v>18</v>
      </c>
      <c r="G376" t="s">
        <v>29</v>
      </c>
      <c r="H376">
        <v>0</v>
      </c>
      <c r="I376">
        <v>12</v>
      </c>
      <c r="J376">
        <v>640</v>
      </c>
      <c r="K376">
        <v>7680</v>
      </c>
      <c r="L376">
        <v>0</v>
      </c>
      <c r="M376">
        <v>7680</v>
      </c>
      <c r="N376" t="s">
        <v>334</v>
      </c>
      <c r="O376" t="s">
        <v>21</v>
      </c>
    </row>
    <row r="377" spans="1:15" x14ac:dyDescent="0.3">
      <c r="A377" t="str">
        <f t="shared" si="5"/>
        <v>OPPW002353-R000-BK</v>
      </c>
      <c r="B377" t="s">
        <v>14</v>
      </c>
      <c r="C377" t="s">
        <v>335</v>
      </c>
      <c r="D377" t="s">
        <v>31</v>
      </c>
      <c r="E377" t="s">
        <v>336</v>
      </c>
      <c r="F377" t="s">
        <v>18</v>
      </c>
      <c r="G377" t="s">
        <v>23</v>
      </c>
      <c r="H377">
        <v>0</v>
      </c>
      <c r="I377">
        <v>120</v>
      </c>
      <c r="J377">
        <v>702</v>
      </c>
      <c r="K377">
        <v>84240</v>
      </c>
      <c r="L377">
        <v>0</v>
      </c>
      <c r="M377">
        <v>84240</v>
      </c>
      <c r="N377" t="s">
        <v>337</v>
      </c>
      <c r="O377" t="s">
        <v>21</v>
      </c>
    </row>
    <row r="378" spans="1:15" x14ac:dyDescent="0.3">
      <c r="A378" t="str">
        <f t="shared" si="5"/>
        <v>OPPW002353-R000-BK</v>
      </c>
      <c r="B378" t="s">
        <v>14</v>
      </c>
      <c r="C378" t="s">
        <v>335</v>
      </c>
      <c r="D378" t="s">
        <v>31</v>
      </c>
      <c r="E378" t="s">
        <v>336</v>
      </c>
      <c r="F378" t="s">
        <v>18</v>
      </c>
      <c r="G378" t="s">
        <v>29</v>
      </c>
      <c r="H378">
        <v>0</v>
      </c>
      <c r="I378">
        <v>12</v>
      </c>
      <c r="J378">
        <v>730</v>
      </c>
      <c r="K378">
        <v>8760</v>
      </c>
      <c r="L378">
        <v>0</v>
      </c>
      <c r="M378">
        <v>8760</v>
      </c>
      <c r="N378" t="s">
        <v>337</v>
      </c>
      <c r="O378" t="s">
        <v>21</v>
      </c>
    </row>
    <row r="379" spans="1:15" x14ac:dyDescent="0.3">
      <c r="A379" t="str">
        <f t="shared" si="5"/>
        <v>OPPW002355-R000-BK</v>
      </c>
      <c r="B379" t="s">
        <v>14</v>
      </c>
      <c r="C379" t="s">
        <v>338</v>
      </c>
      <c r="D379" t="s">
        <v>31</v>
      </c>
      <c r="E379" t="s">
        <v>339</v>
      </c>
      <c r="F379" t="s">
        <v>18</v>
      </c>
      <c r="G379" t="s">
        <v>29</v>
      </c>
      <c r="H379">
        <v>0</v>
      </c>
      <c r="I379">
        <v>5</v>
      </c>
      <c r="J379">
        <v>640</v>
      </c>
      <c r="K379">
        <v>3200</v>
      </c>
      <c r="L379">
        <v>0</v>
      </c>
      <c r="M379">
        <v>3200</v>
      </c>
      <c r="N379" t="s">
        <v>334</v>
      </c>
      <c r="O379" t="s">
        <v>21</v>
      </c>
    </row>
    <row r="380" spans="1:15" x14ac:dyDescent="0.3">
      <c r="A380" t="str">
        <f t="shared" si="5"/>
        <v>OPPW002356-R000-WH</v>
      </c>
      <c r="B380" t="s">
        <v>14</v>
      </c>
      <c r="C380" t="s">
        <v>340</v>
      </c>
      <c r="D380" t="s">
        <v>65</v>
      </c>
      <c r="E380" t="s">
        <v>341</v>
      </c>
      <c r="F380" t="s">
        <v>18</v>
      </c>
      <c r="G380" t="s">
        <v>23</v>
      </c>
      <c r="H380">
        <v>0</v>
      </c>
      <c r="I380">
        <v>4000</v>
      </c>
      <c r="J380">
        <v>63</v>
      </c>
      <c r="K380">
        <v>252000</v>
      </c>
      <c r="L380">
        <v>0</v>
      </c>
      <c r="M380">
        <v>252000</v>
      </c>
      <c r="O380" t="s">
        <v>21</v>
      </c>
    </row>
    <row r="381" spans="1:15" x14ac:dyDescent="0.3">
      <c r="A381" t="str">
        <f t="shared" si="5"/>
        <v>OPPW002365-R000-BK</v>
      </c>
      <c r="B381" t="s">
        <v>14</v>
      </c>
      <c r="C381" t="s">
        <v>1741</v>
      </c>
      <c r="D381" t="s">
        <v>31</v>
      </c>
      <c r="E381" t="s">
        <v>1742</v>
      </c>
      <c r="F381" t="s">
        <v>18</v>
      </c>
      <c r="G381" t="s">
        <v>23</v>
      </c>
      <c r="H381">
        <v>0</v>
      </c>
      <c r="I381">
        <v>1000</v>
      </c>
      <c r="J381">
        <v>52</v>
      </c>
      <c r="K381">
        <v>52000</v>
      </c>
      <c r="L381">
        <v>0</v>
      </c>
      <c r="M381">
        <v>52000</v>
      </c>
      <c r="O381" t="s">
        <v>21</v>
      </c>
    </row>
    <row r="382" spans="1:15" x14ac:dyDescent="0.3">
      <c r="A382" t="str">
        <f t="shared" si="5"/>
        <v>OPPW002366-R000-NI</v>
      </c>
      <c r="B382" t="s">
        <v>14</v>
      </c>
      <c r="C382" t="s">
        <v>342</v>
      </c>
      <c r="D382" t="s">
        <v>67</v>
      </c>
      <c r="E382" t="s">
        <v>343</v>
      </c>
      <c r="F382" t="s">
        <v>18</v>
      </c>
      <c r="G382" t="s">
        <v>23</v>
      </c>
      <c r="H382">
        <v>0</v>
      </c>
      <c r="I382">
        <v>1000</v>
      </c>
      <c r="J382">
        <v>63</v>
      </c>
      <c r="K382">
        <v>63000</v>
      </c>
      <c r="L382">
        <v>0</v>
      </c>
      <c r="M382">
        <v>63000</v>
      </c>
      <c r="N382" t="s">
        <v>344</v>
      </c>
      <c r="O382" t="s">
        <v>21</v>
      </c>
    </row>
    <row r="383" spans="1:15" x14ac:dyDescent="0.3">
      <c r="A383" t="str">
        <f t="shared" si="5"/>
        <v>OPPW002367-R000-WH</v>
      </c>
      <c r="B383" t="s">
        <v>14</v>
      </c>
      <c r="C383" t="s">
        <v>345</v>
      </c>
      <c r="D383" t="s">
        <v>65</v>
      </c>
      <c r="E383" t="s">
        <v>346</v>
      </c>
      <c r="F383" t="s">
        <v>18</v>
      </c>
      <c r="G383" t="s">
        <v>246</v>
      </c>
      <c r="H383">
        <v>0</v>
      </c>
      <c r="I383">
        <v>12000</v>
      </c>
      <c r="J383">
        <v>41</v>
      </c>
      <c r="K383">
        <v>492000</v>
      </c>
      <c r="L383">
        <v>0</v>
      </c>
      <c r="M383">
        <v>492000</v>
      </c>
      <c r="O383" t="s">
        <v>21</v>
      </c>
    </row>
    <row r="384" spans="1:15" x14ac:dyDescent="0.3">
      <c r="A384" t="str">
        <f t="shared" si="5"/>
        <v>OPPW002367-R000-WH</v>
      </c>
      <c r="B384" t="s">
        <v>14</v>
      </c>
      <c r="C384" t="s">
        <v>345</v>
      </c>
      <c r="D384" t="s">
        <v>65</v>
      </c>
      <c r="E384" t="s">
        <v>346</v>
      </c>
      <c r="F384" t="s">
        <v>18</v>
      </c>
      <c r="G384" t="s">
        <v>29</v>
      </c>
      <c r="H384">
        <v>0</v>
      </c>
      <c r="I384">
        <v>2</v>
      </c>
      <c r="J384">
        <v>47</v>
      </c>
      <c r="K384">
        <v>94</v>
      </c>
      <c r="L384">
        <v>0</v>
      </c>
      <c r="M384">
        <v>94</v>
      </c>
      <c r="O384" t="s">
        <v>21</v>
      </c>
    </row>
    <row r="385" spans="1:15" x14ac:dyDescent="0.3">
      <c r="A385" t="str">
        <f t="shared" si="5"/>
        <v>OPPW002367-R000-WH</v>
      </c>
      <c r="B385" t="s">
        <v>14</v>
      </c>
      <c r="C385" t="s">
        <v>345</v>
      </c>
      <c r="D385" t="s">
        <v>65</v>
      </c>
      <c r="E385" t="s">
        <v>346</v>
      </c>
      <c r="F385" t="s">
        <v>18</v>
      </c>
      <c r="G385" t="s">
        <v>111</v>
      </c>
      <c r="H385">
        <v>0</v>
      </c>
      <c r="I385">
        <v>2000</v>
      </c>
      <c r="J385">
        <v>41</v>
      </c>
      <c r="K385">
        <v>82000</v>
      </c>
      <c r="L385">
        <v>0</v>
      </c>
      <c r="M385">
        <v>82000</v>
      </c>
      <c r="O385" t="s">
        <v>21</v>
      </c>
    </row>
    <row r="386" spans="1:15" x14ac:dyDescent="0.3">
      <c r="A386" t="str">
        <f t="shared" si="5"/>
        <v>OPPW002370-R000-XX</v>
      </c>
      <c r="B386" t="s">
        <v>14</v>
      </c>
      <c r="C386" t="s">
        <v>347</v>
      </c>
      <c r="D386" t="s">
        <v>16</v>
      </c>
      <c r="E386" t="s">
        <v>348</v>
      </c>
      <c r="F386" t="s">
        <v>18</v>
      </c>
      <c r="G386" t="s">
        <v>83</v>
      </c>
      <c r="H386">
        <v>0</v>
      </c>
      <c r="I386">
        <v>600</v>
      </c>
      <c r="J386">
        <v>320</v>
      </c>
      <c r="K386">
        <v>192000</v>
      </c>
      <c r="L386">
        <v>0</v>
      </c>
      <c r="M386">
        <v>192000</v>
      </c>
      <c r="N386" t="s">
        <v>349</v>
      </c>
      <c r="O386" t="s">
        <v>21</v>
      </c>
    </row>
    <row r="387" spans="1:15" x14ac:dyDescent="0.3">
      <c r="A387" t="str">
        <f t="shared" ref="A387:A450" si="6">C387&amp;"-"&amp;D387</f>
        <v>OPPW002370-R000-XX</v>
      </c>
      <c r="B387" t="s">
        <v>14</v>
      </c>
      <c r="C387" t="s">
        <v>347</v>
      </c>
      <c r="D387" t="s">
        <v>16</v>
      </c>
      <c r="E387" t="s">
        <v>348</v>
      </c>
      <c r="F387" t="s">
        <v>18</v>
      </c>
      <c r="G387" t="s">
        <v>19</v>
      </c>
      <c r="H387">
        <v>0</v>
      </c>
      <c r="I387">
        <v>1100</v>
      </c>
      <c r="J387">
        <v>320</v>
      </c>
      <c r="K387">
        <v>352000</v>
      </c>
      <c r="L387">
        <v>0</v>
      </c>
      <c r="M387">
        <v>352000</v>
      </c>
      <c r="N387" t="s">
        <v>349</v>
      </c>
      <c r="O387" t="s">
        <v>21</v>
      </c>
    </row>
    <row r="388" spans="1:15" x14ac:dyDescent="0.3">
      <c r="A388" t="str">
        <f t="shared" si="6"/>
        <v>OPPW002371-R000-XX</v>
      </c>
      <c r="B388" t="s">
        <v>14</v>
      </c>
      <c r="C388" t="s">
        <v>350</v>
      </c>
      <c r="D388" t="s">
        <v>16</v>
      </c>
      <c r="E388" t="s">
        <v>351</v>
      </c>
      <c r="F388" t="s">
        <v>18</v>
      </c>
      <c r="G388" t="s">
        <v>23</v>
      </c>
      <c r="H388">
        <v>0</v>
      </c>
      <c r="I388">
        <v>100</v>
      </c>
      <c r="J388">
        <v>300</v>
      </c>
      <c r="K388">
        <v>30000</v>
      </c>
      <c r="L388">
        <v>0</v>
      </c>
      <c r="M388">
        <v>30000</v>
      </c>
      <c r="N388" t="s">
        <v>352</v>
      </c>
      <c r="O388" t="s">
        <v>21</v>
      </c>
    </row>
    <row r="389" spans="1:15" x14ac:dyDescent="0.3">
      <c r="A389" t="str">
        <f t="shared" si="6"/>
        <v>OPPW002371-R000-XX</v>
      </c>
      <c r="B389" t="s">
        <v>14</v>
      </c>
      <c r="C389" t="s">
        <v>350</v>
      </c>
      <c r="D389" t="s">
        <v>16</v>
      </c>
      <c r="E389" t="s">
        <v>351</v>
      </c>
      <c r="F389" t="s">
        <v>18</v>
      </c>
      <c r="G389" t="s">
        <v>174</v>
      </c>
      <c r="H389">
        <v>0</v>
      </c>
      <c r="I389">
        <v>500</v>
      </c>
      <c r="J389">
        <v>300</v>
      </c>
      <c r="K389">
        <v>150000</v>
      </c>
      <c r="L389">
        <v>0</v>
      </c>
      <c r="M389">
        <v>150000</v>
      </c>
      <c r="N389" t="s">
        <v>352</v>
      </c>
      <c r="O389" t="s">
        <v>21</v>
      </c>
    </row>
    <row r="390" spans="1:15" x14ac:dyDescent="0.3">
      <c r="A390" t="str">
        <f t="shared" si="6"/>
        <v>OPPW002371-R000-XX</v>
      </c>
      <c r="B390" t="s">
        <v>14</v>
      </c>
      <c r="C390" t="s">
        <v>350</v>
      </c>
      <c r="D390" t="s">
        <v>16</v>
      </c>
      <c r="E390" t="s">
        <v>351</v>
      </c>
      <c r="F390" t="s">
        <v>18</v>
      </c>
      <c r="G390" t="s">
        <v>35</v>
      </c>
      <c r="H390">
        <v>0</v>
      </c>
      <c r="I390">
        <v>200</v>
      </c>
      <c r="J390">
        <v>300</v>
      </c>
      <c r="K390">
        <v>60000</v>
      </c>
      <c r="L390">
        <v>0</v>
      </c>
      <c r="M390">
        <v>60000</v>
      </c>
      <c r="N390" t="s">
        <v>352</v>
      </c>
      <c r="O390" t="s">
        <v>21</v>
      </c>
    </row>
    <row r="391" spans="1:15" x14ac:dyDescent="0.3">
      <c r="A391" t="str">
        <f t="shared" si="6"/>
        <v>OPPW002371-R000-XX</v>
      </c>
      <c r="B391" t="s">
        <v>14</v>
      </c>
      <c r="C391" t="s">
        <v>350</v>
      </c>
      <c r="D391" t="s">
        <v>16</v>
      </c>
      <c r="E391" t="s">
        <v>351</v>
      </c>
      <c r="F391" t="s">
        <v>18</v>
      </c>
      <c r="G391" t="s">
        <v>83</v>
      </c>
      <c r="H391">
        <v>0</v>
      </c>
      <c r="I391">
        <v>800</v>
      </c>
      <c r="J391">
        <v>300</v>
      </c>
      <c r="K391">
        <v>240000</v>
      </c>
      <c r="L391">
        <v>0</v>
      </c>
      <c r="M391">
        <v>240000</v>
      </c>
      <c r="N391" t="s">
        <v>352</v>
      </c>
      <c r="O391" t="s">
        <v>21</v>
      </c>
    </row>
    <row r="392" spans="1:15" x14ac:dyDescent="0.3">
      <c r="A392" t="str">
        <f t="shared" si="6"/>
        <v>OPPW002372-R000-XX</v>
      </c>
      <c r="B392" t="s">
        <v>14</v>
      </c>
      <c r="C392" t="s">
        <v>353</v>
      </c>
      <c r="D392" t="s">
        <v>16</v>
      </c>
      <c r="E392" t="s">
        <v>354</v>
      </c>
      <c r="F392" t="s">
        <v>18</v>
      </c>
      <c r="G392" t="s">
        <v>19</v>
      </c>
      <c r="H392">
        <v>0</v>
      </c>
      <c r="I392">
        <v>0</v>
      </c>
      <c r="J392">
        <v>230</v>
      </c>
      <c r="K392">
        <v>0</v>
      </c>
      <c r="L392">
        <v>0</v>
      </c>
      <c r="M392">
        <v>0</v>
      </c>
      <c r="N392" t="s">
        <v>355</v>
      </c>
      <c r="O392" t="s">
        <v>21</v>
      </c>
    </row>
    <row r="393" spans="1:15" x14ac:dyDescent="0.3">
      <c r="A393" t="str">
        <f t="shared" si="6"/>
        <v>OPPW002372-R000-XX</v>
      </c>
      <c r="B393" t="s">
        <v>14</v>
      </c>
      <c r="C393" t="s">
        <v>353</v>
      </c>
      <c r="D393" t="s">
        <v>16</v>
      </c>
      <c r="E393" t="s">
        <v>354</v>
      </c>
      <c r="F393" t="s">
        <v>18</v>
      </c>
      <c r="G393" t="s">
        <v>174</v>
      </c>
      <c r="H393">
        <v>0</v>
      </c>
      <c r="I393">
        <v>1800</v>
      </c>
      <c r="J393">
        <v>230</v>
      </c>
      <c r="K393">
        <v>414000</v>
      </c>
      <c r="L393">
        <v>0</v>
      </c>
      <c r="M393">
        <v>414000</v>
      </c>
      <c r="N393" t="s">
        <v>355</v>
      </c>
      <c r="O393" t="s">
        <v>21</v>
      </c>
    </row>
    <row r="394" spans="1:15" x14ac:dyDescent="0.3">
      <c r="A394" t="str">
        <f t="shared" si="6"/>
        <v>OPPW002373-R000-XX</v>
      </c>
      <c r="B394" t="s">
        <v>14</v>
      </c>
      <c r="C394" t="s">
        <v>356</v>
      </c>
      <c r="D394" t="s">
        <v>16</v>
      </c>
      <c r="E394" t="s">
        <v>357</v>
      </c>
      <c r="F394" t="s">
        <v>18</v>
      </c>
      <c r="G394" t="s">
        <v>19</v>
      </c>
      <c r="H394">
        <v>0</v>
      </c>
      <c r="I394">
        <v>3000</v>
      </c>
      <c r="J394">
        <v>160</v>
      </c>
      <c r="K394">
        <v>480000</v>
      </c>
      <c r="L394">
        <v>0</v>
      </c>
      <c r="M394">
        <v>480000</v>
      </c>
      <c r="N394" t="s">
        <v>358</v>
      </c>
      <c r="O394" t="s">
        <v>21</v>
      </c>
    </row>
    <row r="395" spans="1:15" x14ac:dyDescent="0.3">
      <c r="A395" t="str">
        <f t="shared" si="6"/>
        <v>OPPW002373-R000-XX</v>
      </c>
      <c r="B395" t="s">
        <v>14</v>
      </c>
      <c r="C395" t="s">
        <v>356</v>
      </c>
      <c r="D395" t="s">
        <v>16</v>
      </c>
      <c r="E395" t="s">
        <v>357</v>
      </c>
      <c r="F395" t="s">
        <v>18</v>
      </c>
      <c r="G395" t="s">
        <v>83</v>
      </c>
      <c r="H395">
        <v>0</v>
      </c>
      <c r="I395">
        <v>300</v>
      </c>
      <c r="J395">
        <v>160</v>
      </c>
      <c r="K395">
        <v>48000</v>
      </c>
      <c r="L395">
        <v>0</v>
      </c>
      <c r="M395">
        <v>48000</v>
      </c>
      <c r="N395" t="s">
        <v>358</v>
      </c>
      <c r="O395" t="s">
        <v>21</v>
      </c>
    </row>
    <row r="396" spans="1:15" x14ac:dyDescent="0.3">
      <c r="A396" t="str">
        <f t="shared" si="6"/>
        <v>OPPW002378-R000-TS</v>
      </c>
      <c r="B396" t="s">
        <v>14</v>
      </c>
      <c r="C396" t="s">
        <v>360</v>
      </c>
      <c r="D396" t="s">
        <v>168</v>
      </c>
      <c r="E396" t="s">
        <v>361</v>
      </c>
      <c r="F396" t="s">
        <v>18</v>
      </c>
      <c r="G396" t="s">
        <v>23</v>
      </c>
      <c r="H396">
        <v>0</v>
      </c>
      <c r="I396">
        <v>320</v>
      </c>
      <c r="J396">
        <v>1960</v>
      </c>
      <c r="K396">
        <v>627200</v>
      </c>
      <c r="L396">
        <v>0</v>
      </c>
      <c r="M396">
        <v>627200</v>
      </c>
      <c r="N396" t="s">
        <v>362</v>
      </c>
      <c r="O396" t="s">
        <v>21</v>
      </c>
    </row>
    <row r="397" spans="1:15" x14ac:dyDescent="0.3">
      <c r="A397" t="str">
        <f t="shared" si="6"/>
        <v>OPPW002383-R000-TS</v>
      </c>
      <c r="B397" t="s">
        <v>14</v>
      </c>
      <c r="C397" t="s">
        <v>363</v>
      </c>
      <c r="D397" t="s">
        <v>168</v>
      </c>
      <c r="E397" t="s">
        <v>364</v>
      </c>
      <c r="F397" t="s">
        <v>18</v>
      </c>
      <c r="G397" t="s">
        <v>111</v>
      </c>
      <c r="H397">
        <v>0</v>
      </c>
      <c r="I397">
        <v>560</v>
      </c>
      <c r="J397">
        <v>240</v>
      </c>
      <c r="K397">
        <v>134400</v>
      </c>
      <c r="L397">
        <v>0</v>
      </c>
      <c r="M397">
        <v>134400</v>
      </c>
      <c r="N397" t="s">
        <v>365</v>
      </c>
      <c r="O397" t="s">
        <v>21</v>
      </c>
    </row>
    <row r="398" spans="1:15" x14ac:dyDescent="0.3">
      <c r="A398" t="str">
        <f t="shared" si="6"/>
        <v>OPPW002384-R000-MM</v>
      </c>
      <c r="B398" t="s">
        <v>14</v>
      </c>
      <c r="C398" t="s">
        <v>366</v>
      </c>
      <c r="D398" t="s">
        <v>57</v>
      </c>
      <c r="E398" t="s">
        <v>367</v>
      </c>
      <c r="F398" t="s">
        <v>18</v>
      </c>
      <c r="G398" t="s">
        <v>22</v>
      </c>
      <c r="H398">
        <v>0</v>
      </c>
      <c r="I398">
        <v>500</v>
      </c>
      <c r="J398">
        <v>150</v>
      </c>
      <c r="K398">
        <v>75000</v>
      </c>
      <c r="L398">
        <v>0</v>
      </c>
      <c r="M398">
        <v>75000</v>
      </c>
      <c r="O398" t="s">
        <v>21</v>
      </c>
    </row>
    <row r="399" spans="1:15" x14ac:dyDescent="0.3">
      <c r="A399" t="str">
        <f t="shared" si="6"/>
        <v>OPPW002385-R000-MM</v>
      </c>
      <c r="B399" t="s">
        <v>14</v>
      </c>
      <c r="C399" t="s">
        <v>1743</v>
      </c>
      <c r="D399" t="s">
        <v>57</v>
      </c>
      <c r="E399" t="s">
        <v>1744</v>
      </c>
      <c r="F399" t="s">
        <v>18</v>
      </c>
      <c r="G399" t="s">
        <v>83</v>
      </c>
      <c r="H399">
        <v>0</v>
      </c>
      <c r="I399">
        <v>430</v>
      </c>
      <c r="J399">
        <v>62</v>
      </c>
      <c r="K399">
        <v>26660</v>
      </c>
      <c r="L399">
        <v>0</v>
      </c>
      <c r="M399">
        <v>26660</v>
      </c>
      <c r="O399" t="s">
        <v>21</v>
      </c>
    </row>
    <row r="400" spans="1:15" x14ac:dyDescent="0.3">
      <c r="A400" t="str">
        <f t="shared" si="6"/>
        <v>OPPW002385-R000-MM</v>
      </c>
      <c r="B400" t="s">
        <v>14</v>
      </c>
      <c r="C400" t="s">
        <v>1743</v>
      </c>
      <c r="D400" t="s">
        <v>57</v>
      </c>
      <c r="E400" t="s">
        <v>1744</v>
      </c>
      <c r="F400" t="s">
        <v>18</v>
      </c>
      <c r="G400" t="s">
        <v>22</v>
      </c>
      <c r="H400">
        <v>0</v>
      </c>
      <c r="I400">
        <v>100</v>
      </c>
      <c r="J400">
        <v>62</v>
      </c>
      <c r="K400">
        <v>6200</v>
      </c>
      <c r="L400">
        <v>0</v>
      </c>
      <c r="M400">
        <v>6200</v>
      </c>
      <c r="O400" t="s">
        <v>21</v>
      </c>
    </row>
    <row r="401" spans="1:15" x14ac:dyDescent="0.3">
      <c r="A401" t="str">
        <f t="shared" si="6"/>
        <v>OPPW002387-R000-TS</v>
      </c>
      <c r="B401" t="s">
        <v>14</v>
      </c>
      <c r="C401" t="s">
        <v>368</v>
      </c>
      <c r="D401" t="s">
        <v>168</v>
      </c>
      <c r="E401" t="s">
        <v>369</v>
      </c>
      <c r="F401" t="s">
        <v>18</v>
      </c>
      <c r="G401" t="s">
        <v>111</v>
      </c>
      <c r="H401">
        <v>0</v>
      </c>
      <c r="I401">
        <v>1000</v>
      </c>
      <c r="J401">
        <v>89</v>
      </c>
      <c r="K401">
        <v>89000</v>
      </c>
      <c r="L401">
        <v>0</v>
      </c>
      <c r="M401">
        <v>89000</v>
      </c>
      <c r="N401" t="s">
        <v>370</v>
      </c>
      <c r="O401" t="s">
        <v>21</v>
      </c>
    </row>
    <row r="402" spans="1:15" x14ac:dyDescent="0.3">
      <c r="A402" t="str">
        <f t="shared" si="6"/>
        <v>OPPW002387-R000-TS</v>
      </c>
      <c r="B402" t="s">
        <v>14</v>
      </c>
      <c r="C402" t="s">
        <v>368</v>
      </c>
      <c r="D402" t="s">
        <v>168</v>
      </c>
      <c r="E402" t="s">
        <v>369</v>
      </c>
      <c r="F402" t="s">
        <v>18</v>
      </c>
      <c r="G402" t="s">
        <v>22</v>
      </c>
      <c r="H402">
        <v>0</v>
      </c>
      <c r="I402">
        <v>4</v>
      </c>
      <c r="J402">
        <v>90</v>
      </c>
      <c r="K402">
        <v>360</v>
      </c>
      <c r="L402">
        <v>0</v>
      </c>
      <c r="M402">
        <v>360</v>
      </c>
      <c r="N402" t="s">
        <v>370</v>
      </c>
      <c r="O402" t="s">
        <v>21</v>
      </c>
    </row>
    <row r="403" spans="1:15" x14ac:dyDescent="0.3">
      <c r="A403" t="str">
        <f t="shared" si="6"/>
        <v>OPPW002387-R000-TS</v>
      </c>
      <c r="B403" t="s">
        <v>14</v>
      </c>
      <c r="C403" t="s">
        <v>368</v>
      </c>
      <c r="D403" t="s">
        <v>168</v>
      </c>
      <c r="E403" t="s">
        <v>369</v>
      </c>
      <c r="F403" t="s">
        <v>18</v>
      </c>
      <c r="G403" t="s">
        <v>83</v>
      </c>
      <c r="H403">
        <v>0</v>
      </c>
      <c r="I403">
        <v>200</v>
      </c>
      <c r="J403">
        <v>88</v>
      </c>
      <c r="K403">
        <v>17600</v>
      </c>
      <c r="L403">
        <v>0</v>
      </c>
      <c r="M403">
        <v>17600</v>
      </c>
      <c r="N403" t="s">
        <v>370</v>
      </c>
      <c r="O403" t="s">
        <v>21</v>
      </c>
    </row>
    <row r="404" spans="1:15" x14ac:dyDescent="0.3">
      <c r="A404" t="str">
        <f t="shared" si="6"/>
        <v>OPPW002387-R000-TS</v>
      </c>
      <c r="B404" t="s">
        <v>14</v>
      </c>
      <c r="C404" t="s">
        <v>368</v>
      </c>
      <c r="D404" t="s">
        <v>168</v>
      </c>
      <c r="E404" t="s">
        <v>369</v>
      </c>
      <c r="F404" t="s">
        <v>18</v>
      </c>
      <c r="G404" t="s">
        <v>111</v>
      </c>
      <c r="H404">
        <v>0</v>
      </c>
      <c r="I404">
        <v>300</v>
      </c>
      <c r="J404">
        <v>88</v>
      </c>
      <c r="K404">
        <v>26400</v>
      </c>
      <c r="L404">
        <v>0</v>
      </c>
      <c r="M404">
        <v>26400</v>
      </c>
      <c r="N404" t="s">
        <v>370</v>
      </c>
      <c r="O404" t="s">
        <v>21</v>
      </c>
    </row>
    <row r="405" spans="1:15" x14ac:dyDescent="0.3">
      <c r="A405" t="str">
        <f t="shared" si="6"/>
        <v>OPPW002387-R000-TS</v>
      </c>
      <c r="B405" t="s">
        <v>14</v>
      </c>
      <c r="C405" t="s">
        <v>368</v>
      </c>
      <c r="D405" t="s">
        <v>168</v>
      </c>
      <c r="E405" t="s">
        <v>369</v>
      </c>
      <c r="F405" t="s">
        <v>18</v>
      </c>
      <c r="G405" t="s">
        <v>19</v>
      </c>
      <c r="H405">
        <v>0</v>
      </c>
      <c r="I405">
        <v>600</v>
      </c>
      <c r="J405">
        <v>89</v>
      </c>
      <c r="K405">
        <v>53400</v>
      </c>
      <c r="L405">
        <v>0</v>
      </c>
      <c r="M405">
        <v>53400</v>
      </c>
      <c r="N405" t="s">
        <v>370</v>
      </c>
      <c r="O405" t="s">
        <v>21</v>
      </c>
    </row>
    <row r="406" spans="1:15" x14ac:dyDescent="0.3">
      <c r="A406" t="str">
        <f t="shared" si="6"/>
        <v>OPPW002387-R000-TS</v>
      </c>
      <c r="B406" t="s">
        <v>14</v>
      </c>
      <c r="C406" t="s">
        <v>368</v>
      </c>
      <c r="D406" t="s">
        <v>168</v>
      </c>
      <c r="E406" t="s">
        <v>369</v>
      </c>
      <c r="F406" t="s">
        <v>18</v>
      </c>
      <c r="G406" t="s">
        <v>83</v>
      </c>
      <c r="H406">
        <v>0</v>
      </c>
      <c r="I406">
        <v>400</v>
      </c>
      <c r="J406">
        <v>89</v>
      </c>
      <c r="K406">
        <v>35600</v>
      </c>
      <c r="L406">
        <v>0</v>
      </c>
      <c r="M406">
        <v>35600</v>
      </c>
      <c r="N406" t="s">
        <v>370</v>
      </c>
      <c r="O406" t="s">
        <v>21</v>
      </c>
    </row>
    <row r="407" spans="1:15" x14ac:dyDescent="0.3">
      <c r="A407" t="str">
        <f t="shared" si="6"/>
        <v>OPPW002387-R000-TS</v>
      </c>
      <c r="B407" t="s">
        <v>14</v>
      </c>
      <c r="C407" t="s">
        <v>368</v>
      </c>
      <c r="D407" t="s">
        <v>168</v>
      </c>
      <c r="E407" t="s">
        <v>369</v>
      </c>
      <c r="F407" t="s">
        <v>18</v>
      </c>
      <c r="G407" t="s">
        <v>22</v>
      </c>
      <c r="H407">
        <v>0</v>
      </c>
      <c r="I407">
        <v>7</v>
      </c>
      <c r="J407">
        <v>89</v>
      </c>
      <c r="K407">
        <v>623</v>
      </c>
      <c r="L407">
        <v>0</v>
      </c>
      <c r="M407">
        <v>623</v>
      </c>
      <c r="N407" t="s">
        <v>370</v>
      </c>
      <c r="O407" t="s">
        <v>21</v>
      </c>
    </row>
    <row r="408" spans="1:15" x14ac:dyDescent="0.3">
      <c r="A408" t="str">
        <f t="shared" si="6"/>
        <v>OPPW002388-R000-MM</v>
      </c>
      <c r="B408" t="s">
        <v>14</v>
      </c>
      <c r="C408" t="s">
        <v>1745</v>
      </c>
      <c r="D408" t="s">
        <v>57</v>
      </c>
      <c r="E408" t="s">
        <v>1746</v>
      </c>
      <c r="F408" t="s">
        <v>18</v>
      </c>
      <c r="G408" t="s">
        <v>23</v>
      </c>
      <c r="H408">
        <v>0</v>
      </c>
      <c r="I408">
        <v>240</v>
      </c>
      <c r="J408">
        <v>360</v>
      </c>
      <c r="K408">
        <v>86400</v>
      </c>
      <c r="L408">
        <v>0</v>
      </c>
      <c r="M408">
        <v>86400</v>
      </c>
      <c r="O408" t="s">
        <v>21</v>
      </c>
    </row>
    <row r="409" spans="1:15" x14ac:dyDescent="0.3">
      <c r="A409" t="str">
        <f t="shared" si="6"/>
        <v>OPPW002394-R000-BK</v>
      </c>
      <c r="B409" t="s">
        <v>14</v>
      </c>
      <c r="C409" t="s">
        <v>371</v>
      </c>
      <c r="D409" t="s">
        <v>31</v>
      </c>
      <c r="E409" t="s">
        <v>372</v>
      </c>
      <c r="F409" t="s">
        <v>18</v>
      </c>
      <c r="G409" t="s">
        <v>111</v>
      </c>
      <c r="H409">
        <v>0</v>
      </c>
      <c r="I409">
        <v>400</v>
      </c>
      <c r="J409">
        <v>110</v>
      </c>
      <c r="K409">
        <v>44000</v>
      </c>
      <c r="L409">
        <v>0</v>
      </c>
      <c r="M409">
        <v>44000</v>
      </c>
      <c r="N409" t="s">
        <v>373</v>
      </c>
      <c r="O409" t="s">
        <v>21</v>
      </c>
    </row>
    <row r="410" spans="1:15" x14ac:dyDescent="0.3">
      <c r="A410" t="str">
        <f t="shared" si="6"/>
        <v>OPPW002394-R000-BK</v>
      </c>
      <c r="B410" t="s">
        <v>14</v>
      </c>
      <c r="C410" t="s">
        <v>371</v>
      </c>
      <c r="D410" t="s">
        <v>31</v>
      </c>
      <c r="E410" t="s">
        <v>372</v>
      </c>
      <c r="F410" t="s">
        <v>18</v>
      </c>
      <c r="G410" t="s">
        <v>83</v>
      </c>
      <c r="H410">
        <v>0</v>
      </c>
      <c r="I410">
        <v>2900</v>
      </c>
      <c r="J410">
        <v>110</v>
      </c>
      <c r="K410">
        <v>319000</v>
      </c>
      <c r="L410">
        <v>0</v>
      </c>
      <c r="M410">
        <v>319000</v>
      </c>
      <c r="N410" t="s">
        <v>373</v>
      </c>
      <c r="O410" t="s">
        <v>21</v>
      </c>
    </row>
    <row r="411" spans="1:15" x14ac:dyDescent="0.3">
      <c r="A411" t="str">
        <f t="shared" si="6"/>
        <v>OPPW002395-R000-XX</v>
      </c>
      <c r="B411" t="s">
        <v>14</v>
      </c>
      <c r="C411" t="s">
        <v>374</v>
      </c>
      <c r="D411" t="s">
        <v>16</v>
      </c>
      <c r="E411" t="s">
        <v>375</v>
      </c>
      <c r="F411" t="s">
        <v>18</v>
      </c>
      <c r="G411" t="s">
        <v>35</v>
      </c>
      <c r="H411">
        <v>0</v>
      </c>
      <c r="I411">
        <v>400</v>
      </c>
      <c r="J411">
        <v>380</v>
      </c>
      <c r="K411">
        <v>152000</v>
      </c>
      <c r="L411">
        <v>0</v>
      </c>
      <c r="M411">
        <v>152000</v>
      </c>
      <c r="N411" t="s">
        <v>87</v>
      </c>
      <c r="O411" t="s">
        <v>21</v>
      </c>
    </row>
    <row r="412" spans="1:15" x14ac:dyDescent="0.3">
      <c r="A412" t="str">
        <f t="shared" si="6"/>
        <v>OPPW002395-R000-XX</v>
      </c>
      <c r="B412" t="s">
        <v>14</v>
      </c>
      <c r="C412" t="s">
        <v>374</v>
      </c>
      <c r="D412" t="s">
        <v>16</v>
      </c>
      <c r="E412" t="s">
        <v>375</v>
      </c>
      <c r="F412" t="s">
        <v>18</v>
      </c>
      <c r="G412" t="s">
        <v>19</v>
      </c>
      <c r="H412">
        <v>0</v>
      </c>
      <c r="I412">
        <v>2000</v>
      </c>
      <c r="J412">
        <v>380</v>
      </c>
      <c r="K412">
        <v>760000</v>
      </c>
      <c r="L412">
        <v>0</v>
      </c>
      <c r="M412">
        <v>760000</v>
      </c>
      <c r="N412" t="s">
        <v>87</v>
      </c>
      <c r="O412" t="s">
        <v>21</v>
      </c>
    </row>
    <row r="413" spans="1:15" x14ac:dyDescent="0.3">
      <c r="A413" t="str">
        <f t="shared" si="6"/>
        <v>OPPW002396-R000-GYCLS</v>
      </c>
      <c r="B413" t="s">
        <v>14</v>
      </c>
      <c r="C413" t="s">
        <v>376</v>
      </c>
      <c r="D413" t="s">
        <v>377</v>
      </c>
      <c r="E413" t="s">
        <v>378</v>
      </c>
      <c r="F413" t="s">
        <v>18</v>
      </c>
      <c r="G413" t="s">
        <v>22</v>
      </c>
      <c r="H413">
        <v>0</v>
      </c>
      <c r="I413">
        <v>1</v>
      </c>
      <c r="J413">
        <v>430</v>
      </c>
      <c r="K413">
        <v>430</v>
      </c>
      <c r="L413">
        <v>0</v>
      </c>
      <c r="M413">
        <v>430</v>
      </c>
      <c r="N413" t="s">
        <v>379</v>
      </c>
      <c r="O413" t="s">
        <v>21</v>
      </c>
    </row>
    <row r="414" spans="1:15" x14ac:dyDescent="0.3">
      <c r="A414" t="str">
        <f t="shared" si="6"/>
        <v>OPPW002396-R000-GYCLS</v>
      </c>
      <c r="B414" t="s">
        <v>14</v>
      </c>
      <c r="C414" t="s">
        <v>376</v>
      </c>
      <c r="D414" t="s">
        <v>377</v>
      </c>
      <c r="E414" t="s">
        <v>378</v>
      </c>
      <c r="F414" t="s">
        <v>18</v>
      </c>
      <c r="G414" t="s">
        <v>29</v>
      </c>
      <c r="H414">
        <v>0</v>
      </c>
      <c r="I414">
        <v>2</v>
      </c>
      <c r="J414">
        <v>430</v>
      </c>
      <c r="K414">
        <v>860</v>
      </c>
      <c r="L414">
        <v>0</v>
      </c>
      <c r="M414">
        <v>860</v>
      </c>
      <c r="N414" t="s">
        <v>379</v>
      </c>
      <c r="O414" t="s">
        <v>21</v>
      </c>
    </row>
    <row r="415" spans="1:15" x14ac:dyDescent="0.3">
      <c r="A415" t="str">
        <f t="shared" si="6"/>
        <v>OPPW002396-R000-GYCLS</v>
      </c>
      <c r="B415" t="s">
        <v>14</v>
      </c>
      <c r="C415" t="s">
        <v>376</v>
      </c>
      <c r="D415" t="s">
        <v>377</v>
      </c>
      <c r="E415" t="s">
        <v>378</v>
      </c>
      <c r="F415" t="s">
        <v>18</v>
      </c>
      <c r="G415" t="s">
        <v>49</v>
      </c>
      <c r="H415">
        <v>0</v>
      </c>
      <c r="I415">
        <v>200</v>
      </c>
      <c r="J415">
        <v>430</v>
      </c>
      <c r="K415">
        <v>86000</v>
      </c>
      <c r="L415">
        <v>0</v>
      </c>
      <c r="M415">
        <v>86000</v>
      </c>
      <c r="N415" t="s">
        <v>379</v>
      </c>
      <c r="O415" t="s">
        <v>21</v>
      </c>
    </row>
    <row r="416" spans="1:15" x14ac:dyDescent="0.3">
      <c r="A416" t="str">
        <f t="shared" si="6"/>
        <v>OPPW002401-R000-BK</v>
      </c>
      <c r="B416" t="s">
        <v>14</v>
      </c>
      <c r="C416" t="s">
        <v>1747</v>
      </c>
      <c r="D416" t="s">
        <v>31</v>
      </c>
      <c r="E416" t="s">
        <v>1748</v>
      </c>
      <c r="F416" t="s">
        <v>18</v>
      </c>
      <c r="G416" t="s">
        <v>29</v>
      </c>
      <c r="H416">
        <v>0</v>
      </c>
      <c r="I416">
        <v>8</v>
      </c>
      <c r="J416">
        <v>230</v>
      </c>
      <c r="K416">
        <v>1840</v>
      </c>
      <c r="L416">
        <v>0</v>
      </c>
      <c r="M416">
        <v>1840</v>
      </c>
      <c r="N416" t="s">
        <v>1749</v>
      </c>
      <c r="O416" t="s">
        <v>21</v>
      </c>
    </row>
    <row r="417" spans="1:15" x14ac:dyDescent="0.3">
      <c r="A417" t="str">
        <f t="shared" si="6"/>
        <v>OPPW002403-R000-XX</v>
      </c>
      <c r="B417" t="s">
        <v>14</v>
      </c>
      <c r="C417" t="s">
        <v>380</v>
      </c>
      <c r="D417" t="s">
        <v>16</v>
      </c>
      <c r="E417" t="s">
        <v>381</v>
      </c>
      <c r="F417" t="s">
        <v>18</v>
      </c>
      <c r="G417" t="s">
        <v>49</v>
      </c>
      <c r="H417">
        <v>0</v>
      </c>
      <c r="I417">
        <v>300</v>
      </c>
      <c r="J417">
        <v>77</v>
      </c>
      <c r="K417">
        <v>23100</v>
      </c>
      <c r="L417">
        <v>0</v>
      </c>
      <c r="M417">
        <v>23100</v>
      </c>
      <c r="O417" t="s">
        <v>21</v>
      </c>
    </row>
    <row r="418" spans="1:15" x14ac:dyDescent="0.3">
      <c r="A418" t="str">
        <f t="shared" si="6"/>
        <v>OPPW002404-R000-TS</v>
      </c>
      <c r="B418" t="s">
        <v>14</v>
      </c>
      <c r="C418" t="s">
        <v>382</v>
      </c>
      <c r="D418" t="s">
        <v>168</v>
      </c>
      <c r="E418" t="s">
        <v>383</v>
      </c>
      <c r="F418" t="s">
        <v>18</v>
      </c>
      <c r="G418" t="s">
        <v>49</v>
      </c>
      <c r="H418">
        <v>0</v>
      </c>
      <c r="I418">
        <v>1000</v>
      </c>
      <c r="J418">
        <v>73</v>
      </c>
      <c r="K418">
        <v>73000</v>
      </c>
      <c r="L418">
        <v>0</v>
      </c>
      <c r="M418">
        <v>73000</v>
      </c>
      <c r="O418" t="s">
        <v>21</v>
      </c>
    </row>
    <row r="419" spans="1:15" x14ac:dyDescent="0.3">
      <c r="A419" t="str">
        <f t="shared" si="6"/>
        <v>OPPW002405-R000-KP</v>
      </c>
      <c r="B419" t="s">
        <v>14</v>
      </c>
      <c r="C419" t="s">
        <v>1750</v>
      </c>
      <c r="D419" t="s">
        <v>1496</v>
      </c>
      <c r="E419" t="s">
        <v>1751</v>
      </c>
      <c r="F419" t="s">
        <v>18</v>
      </c>
      <c r="G419" t="s">
        <v>22</v>
      </c>
      <c r="H419">
        <v>0</v>
      </c>
      <c r="I419">
        <v>3</v>
      </c>
      <c r="J419">
        <v>630</v>
      </c>
      <c r="K419">
        <v>1890</v>
      </c>
      <c r="L419">
        <v>0</v>
      </c>
      <c r="M419">
        <v>1890</v>
      </c>
      <c r="N419" t="s">
        <v>1752</v>
      </c>
      <c r="O419" t="s">
        <v>21</v>
      </c>
    </row>
    <row r="420" spans="1:15" x14ac:dyDescent="0.3">
      <c r="A420" t="str">
        <f t="shared" si="6"/>
        <v>OPPW002405-R000-KS</v>
      </c>
      <c r="B420" t="s">
        <v>14</v>
      </c>
      <c r="C420" t="s">
        <v>1750</v>
      </c>
      <c r="D420" t="s">
        <v>1499</v>
      </c>
      <c r="E420" t="s">
        <v>1753</v>
      </c>
      <c r="F420" t="s">
        <v>18</v>
      </c>
      <c r="G420" t="s">
        <v>22</v>
      </c>
      <c r="H420">
        <v>0</v>
      </c>
      <c r="I420">
        <v>1</v>
      </c>
      <c r="J420">
        <v>630</v>
      </c>
      <c r="K420">
        <v>630</v>
      </c>
      <c r="L420">
        <v>0</v>
      </c>
      <c r="M420">
        <v>630</v>
      </c>
      <c r="N420" t="s">
        <v>1752</v>
      </c>
      <c r="O420" t="s">
        <v>21</v>
      </c>
    </row>
    <row r="421" spans="1:15" x14ac:dyDescent="0.3">
      <c r="A421" t="str">
        <f t="shared" si="6"/>
        <v>OPPW002411-R000-GY</v>
      </c>
      <c r="B421" t="s">
        <v>14</v>
      </c>
      <c r="C421" t="s">
        <v>384</v>
      </c>
      <c r="D421" t="s">
        <v>47</v>
      </c>
      <c r="E421" t="s">
        <v>385</v>
      </c>
      <c r="F421" t="s">
        <v>18</v>
      </c>
      <c r="G421" t="s">
        <v>49</v>
      </c>
      <c r="H421">
        <v>0</v>
      </c>
      <c r="I421">
        <v>4500</v>
      </c>
      <c r="J421">
        <v>210</v>
      </c>
      <c r="K421">
        <v>945000</v>
      </c>
      <c r="L421">
        <v>0</v>
      </c>
      <c r="M421">
        <v>945000</v>
      </c>
      <c r="N421" t="s">
        <v>386</v>
      </c>
      <c r="O421" t="s">
        <v>21</v>
      </c>
    </row>
    <row r="422" spans="1:15" x14ac:dyDescent="0.3">
      <c r="A422" t="str">
        <f t="shared" si="6"/>
        <v>OPPW002414-R000-BK</v>
      </c>
      <c r="B422" t="s">
        <v>14</v>
      </c>
      <c r="C422" t="s">
        <v>387</v>
      </c>
      <c r="D422" t="s">
        <v>31</v>
      </c>
      <c r="E422" t="s">
        <v>388</v>
      </c>
      <c r="F422" t="s">
        <v>18</v>
      </c>
      <c r="G422" t="s">
        <v>29</v>
      </c>
      <c r="H422">
        <v>0</v>
      </c>
      <c r="I422">
        <v>2</v>
      </c>
      <c r="J422">
        <v>62</v>
      </c>
      <c r="K422">
        <v>124</v>
      </c>
      <c r="L422">
        <v>0</v>
      </c>
      <c r="M422">
        <v>124</v>
      </c>
      <c r="N422" t="s">
        <v>389</v>
      </c>
      <c r="O422" t="s">
        <v>21</v>
      </c>
    </row>
    <row r="423" spans="1:15" x14ac:dyDescent="0.3">
      <c r="A423" t="str">
        <f t="shared" si="6"/>
        <v>OPPW002415-R000-TS</v>
      </c>
      <c r="B423" t="s">
        <v>14</v>
      </c>
      <c r="C423" t="s">
        <v>390</v>
      </c>
      <c r="D423" t="s">
        <v>168</v>
      </c>
      <c r="E423" t="s">
        <v>391</v>
      </c>
      <c r="F423" t="s">
        <v>18</v>
      </c>
      <c r="G423" t="s">
        <v>22</v>
      </c>
      <c r="H423">
        <v>0</v>
      </c>
      <c r="I423">
        <v>8</v>
      </c>
      <c r="J423">
        <v>590</v>
      </c>
      <c r="K423">
        <v>4720</v>
      </c>
      <c r="L423">
        <v>0</v>
      </c>
      <c r="M423">
        <v>4720</v>
      </c>
      <c r="N423" t="s">
        <v>392</v>
      </c>
      <c r="O423" t="s">
        <v>21</v>
      </c>
    </row>
    <row r="424" spans="1:15" x14ac:dyDescent="0.3">
      <c r="A424" t="str">
        <f t="shared" si="6"/>
        <v>OPPW002418-R000-BK</v>
      </c>
      <c r="B424" t="s">
        <v>14</v>
      </c>
      <c r="C424" t="s">
        <v>393</v>
      </c>
      <c r="D424" t="s">
        <v>31</v>
      </c>
      <c r="E424" t="s">
        <v>394</v>
      </c>
      <c r="F424" t="s">
        <v>18</v>
      </c>
      <c r="G424" t="s">
        <v>29</v>
      </c>
      <c r="H424">
        <v>0</v>
      </c>
      <c r="I424">
        <v>1</v>
      </c>
      <c r="J424">
        <v>3090</v>
      </c>
      <c r="K424">
        <v>3090</v>
      </c>
      <c r="L424">
        <v>0</v>
      </c>
      <c r="M424">
        <v>3090</v>
      </c>
      <c r="N424" t="s">
        <v>395</v>
      </c>
      <c r="O424" t="s">
        <v>21</v>
      </c>
    </row>
    <row r="425" spans="1:15" x14ac:dyDescent="0.3">
      <c r="A425" t="str">
        <f t="shared" si="6"/>
        <v>OPPW002421-R000-BK</v>
      </c>
      <c r="B425" t="s">
        <v>14</v>
      </c>
      <c r="C425" t="s">
        <v>396</v>
      </c>
      <c r="D425" t="s">
        <v>31</v>
      </c>
      <c r="E425" t="s">
        <v>397</v>
      </c>
      <c r="F425" t="s">
        <v>18</v>
      </c>
      <c r="G425" t="s">
        <v>29</v>
      </c>
      <c r="H425">
        <v>0</v>
      </c>
      <c r="I425">
        <v>20</v>
      </c>
      <c r="J425">
        <v>400</v>
      </c>
      <c r="K425">
        <v>8000</v>
      </c>
      <c r="L425">
        <v>0</v>
      </c>
      <c r="M425">
        <v>8000</v>
      </c>
      <c r="N425" t="s">
        <v>398</v>
      </c>
      <c r="O425" t="s">
        <v>21</v>
      </c>
    </row>
    <row r="426" spans="1:15" x14ac:dyDescent="0.3">
      <c r="A426" t="str">
        <f t="shared" si="6"/>
        <v>OPPW002421-R000-BK</v>
      </c>
      <c r="B426" t="s">
        <v>14</v>
      </c>
      <c r="C426" t="s">
        <v>396</v>
      </c>
      <c r="D426" t="s">
        <v>31</v>
      </c>
      <c r="E426" t="s">
        <v>397</v>
      </c>
      <c r="F426" t="s">
        <v>18</v>
      </c>
      <c r="G426" t="s">
        <v>23</v>
      </c>
      <c r="H426">
        <v>0</v>
      </c>
      <c r="I426">
        <v>200</v>
      </c>
      <c r="J426">
        <v>370</v>
      </c>
      <c r="K426">
        <v>74000</v>
      </c>
      <c r="L426">
        <v>0</v>
      </c>
      <c r="M426">
        <v>74000</v>
      </c>
      <c r="N426" t="s">
        <v>398</v>
      </c>
      <c r="O426" t="s">
        <v>21</v>
      </c>
    </row>
    <row r="427" spans="1:15" x14ac:dyDescent="0.3">
      <c r="A427" t="str">
        <f t="shared" si="6"/>
        <v>OPPW002421-R000-BK</v>
      </c>
      <c r="B427" t="s">
        <v>14</v>
      </c>
      <c r="C427" t="s">
        <v>396</v>
      </c>
      <c r="D427" t="s">
        <v>31</v>
      </c>
      <c r="E427" t="s">
        <v>397</v>
      </c>
      <c r="F427" t="s">
        <v>18</v>
      </c>
      <c r="G427" t="s">
        <v>22</v>
      </c>
      <c r="H427">
        <v>0</v>
      </c>
      <c r="I427">
        <v>3</v>
      </c>
      <c r="J427">
        <v>400</v>
      </c>
      <c r="K427">
        <v>1200</v>
      </c>
      <c r="L427">
        <v>0</v>
      </c>
      <c r="M427">
        <v>1200</v>
      </c>
      <c r="N427" t="s">
        <v>398</v>
      </c>
      <c r="O427" t="s">
        <v>21</v>
      </c>
    </row>
    <row r="428" spans="1:15" x14ac:dyDescent="0.3">
      <c r="A428" t="str">
        <f t="shared" si="6"/>
        <v>OPPW002426-R000-WW</v>
      </c>
      <c r="B428" t="s">
        <v>14</v>
      </c>
      <c r="C428" t="s">
        <v>399</v>
      </c>
      <c r="D428" t="s">
        <v>28</v>
      </c>
      <c r="E428" t="s">
        <v>400</v>
      </c>
      <c r="F428" t="s">
        <v>18</v>
      </c>
      <c r="G428" t="s">
        <v>29</v>
      </c>
      <c r="H428">
        <v>0</v>
      </c>
      <c r="I428">
        <v>1</v>
      </c>
      <c r="J428">
        <v>1540</v>
      </c>
      <c r="K428">
        <v>1540</v>
      </c>
      <c r="L428">
        <v>0</v>
      </c>
      <c r="M428">
        <v>1540</v>
      </c>
      <c r="N428" t="s">
        <v>401</v>
      </c>
      <c r="O428" t="s">
        <v>21</v>
      </c>
    </row>
    <row r="429" spans="1:15" x14ac:dyDescent="0.3">
      <c r="A429" t="str">
        <f t="shared" si="6"/>
        <v>OPPW002426-R000-WW</v>
      </c>
      <c r="B429" t="s">
        <v>14</v>
      </c>
      <c r="C429" t="s">
        <v>399</v>
      </c>
      <c r="D429" t="s">
        <v>28</v>
      </c>
      <c r="E429" t="s">
        <v>400</v>
      </c>
      <c r="F429" t="s">
        <v>18</v>
      </c>
      <c r="G429" t="s">
        <v>83</v>
      </c>
      <c r="H429">
        <v>0</v>
      </c>
      <c r="I429">
        <v>130</v>
      </c>
      <c r="J429">
        <v>1480</v>
      </c>
      <c r="K429">
        <v>192400</v>
      </c>
      <c r="L429">
        <v>0</v>
      </c>
      <c r="M429">
        <v>192400</v>
      </c>
      <c r="N429" t="s">
        <v>401</v>
      </c>
      <c r="O429" t="s">
        <v>21</v>
      </c>
    </row>
    <row r="430" spans="1:15" x14ac:dyDescent="0.3">
      <c r="A430" t="str">
        <f t="shared" si="6"/>
        <v>OPPW002426-R000-WW</v>
      </c>
      <c r="B430" t="s">
        <v>14</v>
      </c>
      <c r="C430" t="s">
        <v>399</v>
      </c>
      <c r="D430" t="s">
        <v>28</v>
      </c>
      <c r="E430" t="s">
        <v>400</v>
      </c>
      <c r="F430" t="s">
        <v>18</v>
      </c>
      <c r="G430" t="s">
        <v>83</v>
      </c>
      <c r="H430">
        <v>0</v>
      </c>
      <c r="I430">
        <v>300</v>
      </c>
      <c r="J430">
        <v>1540</v>
      </c>
      <c r="K430">
        <v>462000</v>
      </c>
      <c r="L430">
        <v>0</v>
      </c>
      <c r="M430">
        <v>462000</v>
      </c>
      <c r="N430" t="s">
        <v>401</v>
      </c>
      <c r="O430" t="s">
        <v>21</v>
      </c>
    </row>
    <row r="431" spans="1:15" x14ac:dyDescent="0.3">
      <c r="A431" t="str">
        <f t="shared" si="6"/>
        <v>OPPW002426-R000-WW</v>
      </c>
      <c r="B431" t="s">
        <v>14</v>
      </c>
      <c r="C431" t="s">
        <v>399</v>
      </c>
      <c r="D431" t="s">
        <v>28</v>
      </c>
      <c r="E431" t="s">
        <v>400</v>
      </c>
      <c r="F431" t="s">
        <v>18</v>
      </c>
      <c r="G431" t="s">
        <v>22</v>
      </c>
      <c r="H431">
        <v>0</v>
      </c>
      <c r="I431">
        <v>5</v>
      </c>
      <c r="J431">
        <v>1540</v>
      </c>
      <c r="K431">
        <v>7700</v>
      </c>
      <c r="L431">
        <v>0</v>
      </c>
      <c r="M431">
        <v>7700</v>
      </c>
      <c r="N431" t="s">
        <v>401</v>
      </c>
      <c r="O431" t="s">
        <v>21</v>
      </c>
    </row>
    <row r="432" spans="1:15" x14ac:dyDescent="0.3">
      <c r="A432" t="str">
        <f t="shared" si="6"/>
        <v>OPPW002426-R000-WW</v>
      </c>
      <c r="B432" t="s">
        <v>14</v>
      </c>
      <c r="C432" t="s">
        <v>399</v>
      </c>
      <c r="D432" t="s">
        <v>28</v>
      </c>
      <c r="E432" t="s">
        <v>400</v>
      </c>
      <c r="F432" t="s">
        <v>18</v>
      </c>
      <c r="G432" t="s">
        <v>23</v>
      </c>
      <c r="H432">
        <v>0</v>
      </c>
      <c r="I432">
        <v>1040</v>
      </c>
      <c r="J432">
        <v>1540</v>
      </c>
      <c r="K432">
        <v>1601600</v>
      </c>
      <c r="L432">
        <v>0</v>
      </c>
      <c r="M432">
        <v>1601600</v>
      </c>
      <c r="N432" t="s">
        <v>401</v>
      </c>
      <c r="O432" t="s">
        <v>21</v>
      </c>
    </row>
    <row r="433" spans="1:15" x14ac:dyDescent="0.3">
      <c r="A433" t="str">
        <f t="shared" si="6"/>
        <v>OPPW002428-R000-WW</v>
      </c>
      <c r="B433" t="s">
        <v>14</v>
      </c>
      <c r="C433" t="s">
        <v>402</v>
      </c>
      <c r="D433" t="s">
        <v>28</v>
      </c>
      <c r="E433" t="s">
        <v>403</v>
      </c>
      <c r="F433" t="s">
        <v>18</v>
      </c>
      <c r="G433" t="s">
        <v>83</v>
      </c>
      <c r="H433">
        <v>0</v>
      </c>
      <c r="I433">
        <v>100</v>
      </c>
      <c r="J433">
        <v>170</v>
      </c>
      <c r="K433">
        <v>17000</v>
      </c>
      <c r="L433">
        <v>0</v>
      </c>
      <c r="M433">
        <v>17000</v>
      </c>
      <c r="N433" t="s">
        <v>404</v>
      </c>
      <c r="O433" t="s">
        <v>21</v>
      </c>
    </row>
    <row r="434" spans="1:15" x14ac:dyDescent="0.3">
      <c r="A434" t="str">
        <f t="shared" si="6"/>
        <v>OPPW002428-R000-WW</v>
      </c>
      <c r="B434" t="s">
        <v>14</v>
      </c>
      <c r="C434" t="s">
        <v>402</v>
      </c>
      <c r="D434" t="s">
        <v>28</v>
      </c>
      <c r="E434" t="s">
        <v>403</v>
      </c>
      <c r="F434" t="s">
        <v>18</v>
      </c>
      <c r="G434" t="s">
        <v>29</v>
      </c>
      <c r="H434">
        <v>0</v>
      </c>
      <c r="I434">
        <v>1</v>
      </c>
      <c r="J434">
        <v>180</v>
      </c>
      <c r="K434">
        <v>180</v>
      </c>
      <c r="L434">
        <v>0</v>
      </c>
      <c r="M434">
        <v>180</v>
      </c>
      <c r="N434" t="s">
        <v>404</v>
      </c>
      <c r="O434" t="s">
        <v>21</v>
      </c>
    </row>
    <row r="435" spans="1:15" x14ac:dyDescent="0.3">
      <c r="A435" t="str">
        <f t="shared" si="6"/>
        <v>OPPW002428-R000-WW</v>
      </c>
      <c r="B435" t="s">
        <v>14</v>
      </c>
      <c r="C435" t="s">
        <v>402</v>
      </c>
      <c r="D435" t="s">
        <v>28</v>
      </c>
      <c r="E435" t="s">
        <v>403</v>
      </c>
      <c r="F435" t="s">
        <v>18</v>
      </c>
      <c r="G435" t="s">
        <v>23</v>
      </c>
      <c r="H435">
        <v>0</v>
      </c>
      <c r="I435">
        <v>1000</v>
      </c>
      <c r="J435">
        <v>180</v>
      </c>
      <c r="K435">
        <v>180000</v>
      </c>
      <c r="L435">
        <v>0</v>
      </c>
      <c r="M435">
        <v>180000</v>
      </c>
      <c r="N435" t="s">
        <v>404</v>
      </c>
      <c r="O435" t="s">
        <v>21</v>
      </c>
    </row>
    <row r="436" spans="1:15" x14ac:dyDescent="0.3">
      <c r="A436" t="str">
        <f t="shared" si="6"/>
        <v>OPPW002428-R000-WW</v>
      </c>
      <c r="B436" t="s">
        <v>14</v>
      </c>
      <c r="C436" t="s">
        <v>402</v>
      </c>
      <c r="D436" t="s">
        <v>28</v>
      </c>
      <c r="E436" t="s">
        <v>403</v>
      </c>
      <c r="F436" t="s">
        <v>18</v>
      </c>
      <c r="G436" t="s">
        <v>83</v>
      </c>
      <c r="H436">
        <v>0</v>
      </c>
      <c r="I436">
        <v>300</v>
      </c>
      <c r="J436">
        <v>180</v>
      </c>
      <c r="K436">
        <v>54000</v>
      </c>
      <c r="L436">
        <v>0</v>
      </c>
      <c r="M436">
        <v>54000</v>
      </c>
      <c r="N436" t="s">
        <v>404</v>
      </c>
      <c r="O436" t="s">
        <v>21</v>
      </c>
    </row>
    <row r="437" spans="1:15" x14ac:dyDescent="0.3">
      <c r="A437" t="str">
        <f t="shared" si="6"/>
        <v>OPPW002430-R000-WH</v>
      </c>
      <c r="B437" t="s">
        <v>14</v>
      </c>
      <c r="C437" t="s">
        <v>405</v>
      </c>
      <c r="D437" t="s">
        <v>65</v>
      </c>
      <c r="E437" t="s">
        <v>406</v>
      </c>
      <c r="F437" t="s">
        <v>18</v>
      </c>
      <c r="G437" t="s">
        <v>83</v>
      </c>
      <c r="H437">
        <v>0</v>
      </c>
      <c r="I437">
        <v>800</v>
      </c>
      <c r="J437">
        <v>140</v>
      </c>
      <c r="K437">
        <v>112000</v>
      </c>
      <c r="L437">
        <v>0</v>
      </c>
      <c r="M437">
        <v>112000</v>
      </c>
      <c r="N437" t="s">
        <v>407</v>
      </c>
      <c r="O437" t="s">
        <v>21</v>
      </c>
    </row>
    <row r="438" spans="1:15" x14ac:dyDescent="0.3">
      <c r="A438" t="str">
        <f t="shared" si="6"/>
        <v>OPPW002430-R000-WH</v>
      </c>
      <c r="B438" t="s">
        <v>14</v>
      </c>
      <c r="C438" t="s">
        <v>405</v>
      </c>
      <c r="D438" t="s">
        <v>65</v>
      </c>
      <c r="E438" t="s">
        <v>406</v>
      </c>
      <c r="F438" t="s">
        <v>18</v>
      </c>
      <c r="G438" t="s">
        <v>23</v>
      </c>
      <c r="H438">
        <v>0</v>
      </c>
      <c r="I438">
        <v>2020</v>
      </c>
      <c r="J438">
        <v>140</v>
      </c>
      <c r="K438">
        <v>282800</v>
      </c>
      <c r="L438">
        <v>0</v>
      </c>
      <c r="M438">
        <v>282800</v>
      </c>
      <c r="N438" t="s">
        <v>407</v>
      </c>
      <c r="O438" t="s">
        <v>21</v>
      </c>
    </row>
    <row r="439" spans="1:15" x14ac:dyDescent="0.3">
      <c r="A439" t="str">
        <f t="shared" si="6"/>
        <v>OPPW002430-R000-WH</v>
      </c>
      <c r="B439" t="s">
        <v>14</v>
      </c>
      <c r="C439" t="s">
        <v>405</v>
      </c>
      <c r="D439" t="s">
        <v>65</v>
      </c>
      <c r="E439" t="s">
        <v>406</v>
      </c>
      <c r="F439" t="s">
        <v>18</v>
      </c>
      <c r="G439" t="s">
        <v>29</v>
      </c>
      <c r="H439">
        <v>0</v>
      </c>
      <c r="I439">
        <v>2</v>
      </c>
      <c r="J439">
        <v>150</v>
      </c>
      <c r="K439">
        <v>300</v>
      </c>
      <c r="L439">
        <v>0</v>
      </c>
      <c r="M439">
        <v>300</v>
      </c>
      <c r="N439" t="s">
        <v>407</v>
      </c>
      <c r="O439" t="s">
        <v>21</v>
      </c>
    </row>
    <row r="440" spans="1:15" x14ac:dyDescent="0.3">
      <c r="A440" t="str">
        <f t="shared" si="6"/>
        <v>OPPW002432-R000-WBG</v>
      </c>
      <c r="B440" t="s">
        <v>14</v>
      </c>
      <c r="C440" t="s">
        <v>408</v>
      </c>
      <c r="D440" t="s">
        <v>409</v>
      </c>
      <c r="E440" t="s">
        <v>410</v>
      </c>
      <c r="F440" t="s">
        <v>18</v>
      </c>
      <c r="G440" t="s">
        <v>35</v>
      </c>
      <c r="H440">
        <v>0</v>
      </c>
      <c r="I440">
        <v>600</v>
      </c>
      <c r="J440">
        <v>260</v>
      </c>
      <c r="K440">
        <v>156000</v>
      </c>
      <c r="L440">
        <v>0</v>
      </c>
      <c r="M440">
        <v>156000</v>
      </c>
      <c r="N440" t="s">
        <v>411</v>
      </c>
      <c r="O440" t="s">
        <v>21</v>
      </c>
    </row>
    <row r="441" spans="1:15" x14ac:dyDescent="0.3">
      <c r="A441" t="str">
        <f t="shared" si="6"/>
        <v>OPPW002433-R000-MM</v>
      </c>
      <c r="B441" t="s">
        <v>14</v>
      </c>
      <c r="C441" t="s">
        <v>412</v>
      </c>
      <c r="D441" t="s">
        <v>57</v>
      </c>
      <c r="E441" t="s">
        <v>413</v>
      </c>
      <c r="F441" t="s">
        <v>18</v>
      </c>
      <c r="G441" t="s">
        <v>29</v>
      </c>
      <c r="H441">
        <v>0</v>
      </c>
      <c r="I441">
        <v>2</v>
      </c>
      <c r="J441">
        <v>950</v>
      </c>
      <c r="K441">
        <v>1900</v>
      </c>
      <c r="L441">
        <v>0</v>
      </c>
      <c r="M441">
        <v>1900</v>
      </c>
      <c r="N441" t="s">
        <v>414</v>
      </c>
      <c r="O441" t="s">
        <v>21</v>
      </c>
    </row>
    <row r="442" spans="1:15" x14ac:dyDescent="0.3">
      <c r="A442" t="str">
        <f t="shared" si="6"/>
        <v>OPPW002433-R000-MM</v>
      </c>
      <c r="B442" t="s">
        <v>14</v>
      </c>
      <c r="C442" t="s">
        <v>412</v>
      </c>
      <c r="D442" t="s">
        <v>57</v>
      </c>
      <c r="E442" t="s">
        <v>413</v>
      </c>
      <c r="F442" t="s">
        <v>18</v>
      </c>
      <c r="G442" t="s">
        <v>29</v>
      </c>
      <c r="H442">
        <v>0</v>
      </c>
      <c r="I442">
        <v>15</v>
      </c>
      <c r="J442">
        <v>930</v>
      </c>
      <c r="K442">
        <v>13950</v>
      </c>
      <c r="L442">
        <v>0</v>
      </c>
      <c r="M442">
        <v>13950</v>
      </c>
      <c r="N442" t="s">
        <v>414</v>
      </c>
      <c r="O442" t="s">
        <v>21</v>
      </c>
    </row>
    <row r="443" spans="1:15" x14ac:dyDescent="0.3">
      <c r="A443" t="str">
        <f t="shared" si="6"/>
        <v>OPPW002433-R000-MM</v>
      </c>
      <c r="B443" t="s">
        <v>14</v>
      </c>
      <c r="C443" t="s">
        <v>412</v>
      </c>
      <c r="D443" t="s">
        <v>57</v>
      </c>
      <c r="E443" t="s">
        <v>413</v>
      </c>
      <c r="F443" t="s">
        <v>18</v>
      </c>
      <c r="G443" t="s">
        <v>23</v>
      </c>
      <c r="H443">
        <v>0</v>
      </c>
      <c r="I443">
        <v>64</v>
      </c>
      <c r="J443">
        <v>950</v>
      </c>
      <c r="K443">
        <v>60800</v>
      </c>
      <c r="L443">
        <v>0</v>
      </c>
      <c r="M443">
        <v>60800</v>
      </c>
      <c r="N443" t="s">
        <v>414</v>
      </c>
      <c r="O443" t="s">
        <v>21</v>
      </c>
    </row>
    <row r="444" spans="1:15" x14ac:dyDescent="0.3">
      <c r="A444" t="str">
        <f t="shared" si="6"/>
        <v>OPPW002434-R000-MM</v>
      </c>
      <c r="B444" t="s">
        <v>14</v>
      </c>
      <c r="C444" t="s">
        <v>415</v>
      </c>
      <c r="D444" t="s">
        <v>57</v>
      </c>
      <c r="E444" t="s">
        <v>416</v>
      </c>
      <c r="F444" t="s">
        <v>18</v>
      </c>
      <c r="G444" t="s">
        <v>23</v>
      </c>
      <c r="H444">
        <v>0</v>
      </c>
      <c r="I444">
        <v>128</v>
      </c>
      <c r="J444">
        <v>1990</v>
      </c>
      <c r="K444">
        <v>254720</v>
      </c>
      <c r="L444">
        <v>0</v>
      </c>
      <c r="M444">
        <v>254720</v>
      </c>
      <c r="N444" t="s">
        <v>417</v>
      </c>
      <c r="O444" t="s">
        <v>21</v>
      </c>
    </row>
    <row r="445" spans="1:15" x14ac:dyDescent="0.3">
      <c r="A445" t="str">
        <f t="shared" si="6"/>
        <v>OPPW002435-R000-MM</v>
      </c>
      <c r="B445" t="s">
        <v>14</v>
      </c>
      <c r="C445" t="s">
        <v>418</v>
      </c>
      <c r="D445" t="s">
        <v>57</v>
      </c>
      <c r="E445" t="s">
        <v>419</v>
      </c>
      <c r="F445" t="s">
        <v>18</v>
      </c>
      <c r="G445" t="s">
        <v>23</v>
      </c>
      <c r="H445">
        <v>0</v>
      </c>
      <c r="I445">
        <v>64</v>
      </c>
      <c r="J445">
        <v>3430</v>
      </c>
      <c r="K445">
        <v>219520</v>
      </c>
      <c r="L445">
        <v>0</v>
      </c>
      <c r="M445">
        <v>219520</v>
      </c>
      <c r="N445" t="s">
        <v>420</v>
      </c>
      <c r="O445" t="s">
        <v>21</v>
      </c>
    </row>
    <row r="446" spans="1:15" x14ac:dyDescent="0.3">
      <c r="A446" t="str">
        <f t="shared" si="6"/>
        <v>OPPW002441-R000-BK</v>
      </c>
      <c r="B446" t="s">
        <v>14</v>
      </c>
      <c r="C446" t="s">
        <v>421</v>
      </c>
      <c r="D446" t="s">
        <v>31</v>
      </c>
      <c r="E446" t="s">
        <v>422</v>
      </c>
      <c r="F446" t="s">
        <v>18</v>
      </c>
      <c r="G446" t="s">
        <v>29</v>
      </c>
      <c r="H446">
        <v>0</v>
      </c>
      <c r="I446">
        <v>44</v>
      </c>
      <c r="J446">
        <v>120</v>
      </c>
      <c r="K446">
        <v>5280</v>
      </c>
      <c r="L446">
        <v>0</v>
      </c>
      <c r="M446">
        <v>5280</v>
      </c>
      <c r="N446" t="s">
        <v>423</v>
      </c>
      <c r="O446" t="s">
        <v>21</v>
      </c>
    </row>
    <row r="447" spans="1:15" x14ac:dyDescent="0.3">
      <c r="A447" t="str">
        <f t="shared" si="6"/>
        <v>OPPW002442-R000-WW</v>
      </c>
      <c r="B447" t="s">
        <v>14</v>
      </c>
      <c r="C447" t="s">
        <v>425</v>
      </c>
      <c r="D447" t="s">
        <v>28</v>
      </c>
      <c r="E447" t="s">
        <v>426</v>
      </c>
      <c r="F447" t="s">
        <v>18</v>
      </c>
      <c r="G447" t="s">
        <v>29</v>
      </c>
      <c r="H447">
        <v>0</v>
      </c>
      <c r="I447">
        <v>25</v>
      </c>
      <c r="J447">
        <v>630</v>
      </c>
      <c r="K447">
        <v>15750</v>
      </c>
      <c r="L447">
        <v>0</v>
      </c>
      <c r="M447">
        <v>15750</v>
      </c>
      <c r="N447" t="s">
        <v>427</v>
      </c>
      <c r="O447" t="s">
        <v>21</v>
      </c>
    </row>
    <row r="448" spans="1:15" x14ac:dyDescent="0.3">
      <c r="A448" t="str">
        <f t="shared" si="6"/>
        <v>OPPW002443-R000-WW</v>
      </c>
      <c r="B448" t="s">
        <v>14</v>
      </c>
      <c r="C448" t="s">
        <v>428</v>
      </c>
      <c r="D448" t="s">
        <v>28</v>
      </c>
      <c r="E448" t="s">
        <v>429</v>
      </c>
      <c r="F448" t="s">
        <v>18</v>
      </c>
      <c r="G448" t="s">
        <v>29</v>
      </c>
      <c r="H448">
        <v>0</v>
      </c>
      <c r="I448">
        <v>4</v>
      </c>
      <c r="J448">
        <v>84</v>
      </c>
      <c r="K448">
        <v>336</v>
      </c>
      <c r="L448">
        <v>0</v>
      </c>
      <c r="M448">
        <v>336</v>
      </c>
      <c r="N448" t="s">
        <v>430</v>
      </c>
      <c r="O448" t="s">
        <v>21</v>
      </c>
    </row>
    <row r="449" spans="1:15" x14ac:dyDescent="0.3">
      <c r="A449" t="str">
        <f t="shared" si="6"/>
        <v>OPPW002444-R000-BK</v>
      </c>
      <c r="B449" t="s">
        <v>14</v>
      </c>
      <c r="C449" t="s">
        <v>431</v>
      </c>
      <c r="D449" t="s">
        <v>31</v>
      </c>
      <c r="E449" t="s">
        <v>432</v>
      </c>
      <c r="F449" t="s">
        <v>18</v>
      </c>
      <c r="G449" t="s">
        <v>68</v>
      </c>
      <c r="H449">
        <v>0</v>
      </c>
      <c r="I449">
        <v>1000</v>
      </c>
      <c r="J449">
        <v>88</v>
      </c>
      <c r="K449">
        <v>88000</v>
      </c>
      <c r="L449">
        <v>0</v>
      </c>
      <c r="M449">
        <v>88000</v>
      </c>
      <c r="N449" t="s">
        <v>433</v>
      </c>
      <c r="O449" t="s">
        <v>21</v>
      </c>
    </row>
    <row r="450" spans="1:15" x14ac:dyDescent="0.3">
      <c r="A450" t="str">
        <f t="shared" si="6"/>
        <v>OPPW002445-R000-BK</v>
      </c>
      <c r="B450" t="s">
        <v>14</v>
      </c>
      <c r="C450" t="s">
        <v>434</v>
      </c>
      <c r="D450" t="s">
        <v>31</v>
      </c>
      <c r="E450" t="s">
        <v>435</v>
      </c>
      <c r="F450" t="s">
        <v>18</v>
      </c>
      <c r="G450" t="s">
        <v>68</v>
      </c>
      <c r="H450">
        <v>0</v>
      </c>
      <c r="I450">
        <v>50</v>
      </c>
      <c r="J450">
        <v>2340</v>
      </c>
      <c r="K450">
        <v>117000</v>
      </c>
      <c r="L450">
        <v>0</v>
      </c>
      <c r="M450">
        <v>117000</v>
      </c>
      <c r="N450" t="s">
        <v>436</v>
      </c>
      <c r="O450" t="s">
        <v>21</v>
      </c>
    </row>
    <row r="451" spans="1:15" x14ac:dyDescent="0.3">
      <c r="A451" t="str">
        <f t="shared" ref="A451:A514" si="7">C451&amp;"-"&amp;D451</f>
        <v>OPPW002445-R000-BK</v>
      </c>
      <c r="B451" t="s">
        <v>14</v>
      </c>
      <c r="C451" t="s">
        <v>434</v>
      </c>
      <c r="D451" t="s">
        <v>31</v>
      </c>
      <c r="E451" t="s">
        <v>435</v>
      </c>
      <c r="F451" t="s">
        <v>18</v>
      </c>
      <c r="G451" t="s">
        <v>23</v>
      </c>
      <c r="H451">
        <v>0</v>
      </c>
      <c r="I451">
        <v>1080</v>
      </c>
      <c r="J451">
        <v>2340</v>
      </c>
      <c r="K451">
        <v>2527200</v>
      </c>
      <c r="L451">
        <v>0</v>
      </c>
      <c r="M451">
        <v>2527200</v>
      </c>
      <c r="N451" t="s">
        <v>436</v>
      </c>
      <c r="O451" t="s">
        <v>21</v>
      </c>
    </row>
    <row r="452" spans="1:15" x14ac:dyDescent="0.3">
      <c r="A452" t="str">
        <f t="shared" si="7"/>
        <v>OPPW002480-R000-XX</v>
      </c>
      <c r="B452" t="s">
        <v>14</v>
      </c>
      <c r="C452" t="s">
        <v>1754</v>
      </c>
      <c r="D452" t="s">
        <v>16</v>
      </c>
      <c r="E452" t="s">
        <v>1755</v>
      </c>
      <c r="F452" t="s">
        <v>18</v>
      </c>
      <c r="G452" t="s">
        <v>22</v>
      </c>
      <c r="H452">
        <v>0</v>
      </c>
      <c r="I452">
        <v>1</v>
      </c>
      <c r="J452">
        <v>400</v>
      </c>
      <c r="K452">
        <v>400</v>
      </c>
      <c r="L452">
        <v>0</v>
      </c>
      <c r="M452">
        <v>400</v>
      </c>
      <c r="O452" t="s">
        <v>21</v>
      </c>
    </row>
    <row r="453" spans="1:15" x14ac:dyDescent="0.3">
      <c r="A453" t="str">
        <f t="shared" si="7"/>
        <v>OPPW002480-R000-XX</v>
      </c>
      <c r="B453" t="s">
        <v>14</v>
      </c>
      <c r="C453" t="s">
        <v>1754</v>
      </c>
      <c r="D453" t="s">
        <v>16</v>
      </c>
      <c r="E453" t="s">
        <v>1755</v>
      </c>
      <c r="F453" t="s">
        <v>18</v>
      </c>
      <c r="G453" t="s">
        <v>23</v>
      </c>
      <c r="H453">
        <v>0</v>
      </c>
      <c r="I453">
        <v>100</v>
      </c>
      <c r="J453">
        <v>380</v>
      </c>
      <c r="K453">
        <v>38000</v>
      </c>
      <c r="L453">
        <v>0</v>
      </c>
      <c r="M453">
        <v>38000</v>
      </c>
      <c r="O453" t="s">
        <v>21</v>
      </c>
    </row>
    <row r="454" spans="1:15" x14ac:dyDescent="0.3">
      <c r="A454" t="str">
        <f t="shared" si="7"/>
        <v>OPPW002481-R000-XX</v>
      </c>
      <c r="B454" t="s">
        <v>14</v>
      </c>
      <c r="C454" t="s">
        <v>1756</v>
      </c>
      <c r="D454" t="s">
        <v>16</v>
      </c>
      <c r="E454" t="s">
        <v>1757</v>
      </c>
      <c r="F454" t="s">
        <v>18</v>
      </c>
      <c r="G454" t="s">
        <v>23</v>
      </c>
      <c r="H454">
        <v>0</v>
      </c>
      <c r="I454">
        <v>100</v>
      </c>
      <c r="J454">
        <v>380</v>
      </c>
      <c r="K454">
        <v>38000</v>
      </c>
      <c r="L454">
        <v>0</v>
      </c>
      <c r="M454">
        <v>38000</v>
      </c>
      <c r="O454" t="s">
        <v>21</v>
      </c>
    </row>
    <row r="455" spans="1:15" x14ac:dyDescent="0.3">
      <c r="A455" t="str">
        <f t="shared" si="7"/>
        <v>OPPW002481-R000-XX</v>
      </c>
      <c r="B455" t="s">
        <v>14</v>
      </c>
      <c r="C455" t="s">
        <v>1756</v>
      </c>
      <c r="D455" t="s">
        <v>16</v>
      </c>
      <c r="E455" t="s">
        <v>1757</v>
      </c>
      <c r="F455" t="s">
        <v>18</v>
      </c>
      <c r="G455" t="s">
        <v>22</v>
      </c>
      <c r="H455">
        <v>0</v>
      </c>
      <c r="I455">
        <v>1</v>
      </c>
      <c r="J455">
        <v>400</v>
      </c>
      <c r="K455">
        <v>400</v>
      </c>
      <c r="L455">
        <v>0</v>
      </c>
      <c r="M455">
        <v>400</v>
      </c>
      <c r="O455" t="s">
        <v>21</v>
      </c>
    </row>
    <row r="456" spans="1:15" x14ac:dyDescent="0.3">
      <c r="A456" t="str">
        <f t="shared" si="7"/>
        <v>OPPW002487-R000-LG</v>
      </c>
      <c r="B456" t="s">
        <v>14</v>
      </c>
      <c r="C456" t="s">
        <v>437</v>
      </c>
      <c r="D456" t="s">
        <v>161</v>
      </c>
      <c r="E456" t="s">
        <v>438</v>
      </c>
      <c r="F456" t="s">
        <v>18</v>
      </c>
      <c r="G456" t="s">
        <v>29</v>
      </c>
      <c r="H456">
        <v>0</v>
      </c>
      <c r="I456">
        <v>1</v>
      </c>
      <c r="J456">
        <v>2010</v>
      </c>
      <c r="K456">
        <v>2010</v>
      </c>
      <c r="L456">
        <v>0</v>
      </c>
      <c r="M456">
        <v>2010</v>
      </c>
      <c r="N456" t="s">
        <v>439</v>
      </c>
      <c r="O456" t="s">
        <v>21</v>
      </c>
    </row>
    <row r="457" spans="1:15" x14ac:dyDescent="0.3">
      <c r="A457" t="str">
        <f t="shared" si="7"/>
        <v>OPPW002927-R000-WW</v>
      </c>
      <c r="B457" t="s">
        <v>14</v>
      </c>
      <c r="C457" t="s">
        <v>440</v>
      </c>
      <c r="D457" t="s">
        <v>28</v>
      </c>
      <c r="E457" t="s">
        <v>441</v>
      </c>
      <c r="F457" t="s">
        <v>18</v>
      </c>
      <c r="G457" t="s">
        <v>35</v>
      </c>
      <c r="H457">
        <v>0</v>
      </c>
      <c r="I457">
        <v>540</v>
      </c>
      <c r="J457">
        <v>410</v>
      </c>
      <c r="K457">
        <v>221400</v>
      </c>
      <c r="L457">
        <v>0</v>
      </c>
      <c r="M457">
        <v>221400</v>
      </c>
      <c r="N457" t="s">
        <v>442</v>
      </c>
      <c r="O457" t="s">
        <v>21</v>
      </c>
    </row>
    <row r="458" spans="1:15" x14ac:dyDescent="0.3">
      <c r="A458" t="str">
        <f t="shared" si="7"/>
        <v>OPPW002929-R000-WW</v>
      </c>
      <c r="B458" t="s">
        <v>14</v>
      </c>
      <c r="C458" t="s">
        <v>443</v>
      </c>
      <c r="D458" t="s">
        <v>28</v>
      </c>
      <c r="E458" t="s">
        <v>444</v>
      </c>
      <c r="F458" t="s">
        <v>18</v>
      </c>
      <c r="G458" t="s">
        <v>35</v>
      </c>
      <c r="H458">
        <v>0</v>
      </c>
      <c r="I458">
        <v>300</v>
      </c>
      <c r="J458">
        <v>380</v>
      </c>
      <c r="K458">
        <v>114000</v>
      </c>
      <c r="L458">
        <v>0</v>
      </c>
      <c r="M458">
        <v>114000</v>
      </c>
      <c r="N458" t="s">
        <v>445</v>
      </c>
      <c r="O458" t="s">
        <v>21</v>
      </c>
    </row>
    <row r="459" spans="1:15" x14ac:dyDescent="0.3">
      <c r="A459" t="str">
        <f t="shared" si="7"/>
        <v>OPPW004640-R000-MM</v>
      </c>
      <c r="B459" t="s">
        <v>14</v>
      </c>
      <c r="C459" t="s">
        <v>446</v>
      </c>
      <c r="D459" t="s">
        <v>57</v>
      </c>
      <c r="E459" t="s">
        <v>447</v>
      </c>
      <c r="F459" t="s">
        <v>18</v>
      </c>
      <c r="G459" t="s">
        <v>448</v>
      </c>
      <c r="H459">
        <v>0</v>
      </c>
      <c r="I459">
        <v>600</v>
      </c>
      <c r="J459">
        <v>160</v>
      </c>
      <c r="K459">
        <v>96000</v>
      </c>
      <c r="L459">
        <v>0</v>
      </c>
      <c r="M459">
        <v>96000</v>
      </c>
      <c r="N459" t="s">
        <v>449</v>
      </c>
      <c r="O459" t="s">
        <v>21</v>
      </c>
    </row>
    <row r="460" spans="1:15" x14ac:dyDescent="0.3">
      <c r="A460" t="str">
        <f t="shared" si="7"/>
        <v>OPPW005387-R000-MM</v>
      </c>
      <c r="B460" t="s">
        <v>14</v>
      </c>
      <c r="C460" t="s">
        <v>450</v>
      </c>
      <c r="D460" t="s">
        <v>57</v>
      </c>
      <c r="E460" t="s">
        <v>451</v>
      </c>
      <c r="F460" t="s">
        <v>18</v>
      </c>
      <c r="G460" t="s">
        <v>19</v>
      </c>
      <c r="H460">
        <v>0</v>
      </c>
      <c r="I460">
        <v>1500</v>
      </c>
      <c r="J460">
        <v>420</v>
      </c>
      <c r="K460">
        <v>630000</v>
      </c>
      <c r="L460">
        <v>0</v>
      </c>
      <c r="M460">
        <v>630000</v>
      </c>
      <c r="N460" t="s">
        <v>452</v>
      </c>
      <c r="O460" t="s">
        <v>21</v>
      </c>
    </row>
    <row r="461" spans="1:15" x14ac:dyDescent="0.3">
      <c r="A461" t="str">
        <f t="shared" si="7"/>
        <v>OPPW006225-R000-NK</v>
      </c>
      <c r="B461" t="s">
        <v>14</v>
      </c>
      <c r="C461" t="s">
        <v>453</v>
      </c>
      <c r="D461" t="s">
        <v>879</v>
      </c>
      <c r="E461" t="s">
        <v>454</v>
      </c>
      <c r="F461" t="s">
        <v>18</v>
      </c>
      <c r="G461" t="s">
        <v>19</v>
      </c>
      <c r="H461">
        <v>0</v>
      </c>
      <c r="I461">
        <v>2000</v>
      </c>
      <c r="J461">
        <v>17</v>
      </c>
      <c r="K461">
        <v>34000</v>
      </c>
      <c r="L461">
        <v>0</v>
      </c>
      <c r="M461">
        <v>34000</v>
      </c>
      <c r="N461" t="s">
        <v>1758</v>
      </c>
      <c r="O461" t="s">
        <v>21</v>
      </c>
    </row>
    <row r="462" spans="1:15" x14ac:dyDescent="0.3">
      <c r="A462" t="str">
        <f t="shared" si="7"/>
        <v>OPPW006225-R000-WW</v>
      </c>
      <c r="B462" t="s">
        <v>14</v>
      </c>
      <c r="C462" t="s">
        <v>453</v>
      </c>
      <c r="D462" t="s">
        <v>28</v>
      </c>
      <c r="E462" t="s">
        <v>454</v>
      </c>
      <c r="F462" t="s">
        <v>18</v>
      </c>
      <c r="G462" t="s">
        <v>19</v>
      </c>
      <c r="H462">
        <v>0</v>
      </c>
      <c r="I462">
        <v>38000</v>
      </c>
      <c r="J462">
        <v>17</v>
      </c>
      <c r="K462">
        <v>646000</v>
      </c>
      <c r="L462">
        <v>0</v>
      </c>
      <c r="M462">
        <v>646000</v>
      </c>
      <c r="N462" t="s">
        <v>1758</v>
      </c>
      <c r="O462" t="s">
        <v>21</v>
      </c>
    </row>
    <row r="463" spans="1:15" x14ac:dyDescent="0.3">
      <c r="A463" t="str">
        <f t="shared" si="7"/>
        <v>OPPW006226-R000-WW</v>
      </c>
      <c r="B463" t="s">
        <v>14</v>
      </c>
      <c r="C463" t="s">
        <v>455</v>
      </c>
      <c r="D463" t="s">
        <v>28</v>
      </c>
      <c r="E463" t="s">
        <v>456</v>
      </c>
      <c r="F463" t="s">
        <v>18</v>
      </c>
      <c r="G463" t="s">
        <v>19</v>
      </c>
      <c r="H463">
        <v>0</v>
      </c>
      <c r="I463">
        <v>14000</v>
      </c>
      <c r="J463">
        <v>19</v>
      </c>
      <c r="K463">
        <v>266000</v>
      </c>
      <c r="L463">
        <v>0</v>
      </c>
      <c r="M463">
        <v>266000</v>
      </c>
      <c r="N463" t="s">
        <v>1759</v>
      </c>
      <c r="O463" t="s">
        <v>21</v>
      </c>
    </row>
    <row r="464" spans="1:15" x14ac:dyDescent="0.3">
      <c r="A464" t="str">
        <f t="shared" si="7"/>
        <v>OPPW006273-R000-WW</v>
      </c>
      <c r="B464" t="s">
        <v>14</v>
      </c>
      <c r="C464" t="s">
        <v>1760</v>
      </c>
      <c r="D464" t="s">
        <v>28</v>
      </c>
      <c r="E464" t="s">
        <v>1761</v>
      </c>
      <c r="F464" t="s">
        <v>18</v>
      </c>
      <c r="G464" t="s">
        <v>19</v>
      </c>
      <c r="H464">
        <v>0</v>
      </c>
      <c r="I464">
        <v>2000</v>
      </c>
      <c r="J464">
        <v>22</v>
      </c>
      <c r="K464">
        <v>44000</v>
      </c>
      <c r="L464">
        <v>0</v>
      </c>
      <c r="M464">
        <v>44000</v>
      </c>
      <c r="N464" t="s">
        <v>1762</v>
      </c>
      <c r="O464" t="s">
        <v>21</v>
      </c>
    </row>
    <row r="465" spans="1:15" x14ac:dyDescent="0.3">
      <c r="A465" t="str">
        <f t="shared" si="7"/>
        <v>OPPW006274-R000-WW</v>
      </c>
      <c r="B465" t="s">
        <v>14</v>
      </c>
      <c r="C465" t="s">
        <v>1763</v>
      </c>
      <c r="D465" t="s">
        <v>28</v>
      </c>
      <c r="E465" t="s">
        <v>1764</v>
      </c>
      <c r="F465" t="s">
        <v>18</v>
      </c>
      <c r="G465" t="s">
        <v>19</v>
      </c>
      <c r="H465">
        <v>0</v>
      </c>
      <c r="I465">
        <v>2000</v>
      </c>
      <c r="J465">
        <v>52</v>
      </c>
      <c r="K465">
        <v>104000</v>
      </c>
      <c r="L465">
        <v>0</v>
      </c>
      <c r="M465">
        <v>104000</v>
      </c>
      <c r="N465" t="s">
        <v>1765</v>
      </c>
      <c r="O465" t="s">
        <v>21</v>
      </c>
    </row>
    <row r="466" spans="1:15" x14ac:dyDescent="0.3">
      <c r="A466" t="str">
        <f t="shared" si="7"/>
        <v>OPPW006282-R000-WW</v>
      </c>
      <c r="B466" t="s">
        <v>14</v>
      </c>
      <c r="C466" t="s">
        <v>1766</v>
      </c>
      <c r="D466" t="s">
        <v>28</v>
      </c>
      <c r="E466" t="s">
        <v>1767</v>
      </c>
      <c r="F466" t="s">
        <v>18</v>
      </c>
      <c r="G466" t="s">
        <v>22</v>
      </c>
      <c r="H466">
        <v>0</v>
      </c>
      <c r="I466">
        <v>2000</v>
      </c>
      <c r="J466">
        <v>26</v>
      </c>
      <c r="K466">
        <v>52000</v>
      </c>
      <c r="L466">
        <v>0</v>
      </c>
      <c r="M466">
        <v>52000</v>
      </c>
      <c r="N466" t="s">
        <v>1759</v>
      </c>
      <c r="O466" t="s">
        <v>21</v>
      </c>
    </row>
    <row r="467" spans="1:15" x14ac:dyDescent="0.3">
      <c r="A467" t="str">
        <f t="shared" si="7"/>
        <v>OPPW007647-R000-MM</v>
      </c>
      <c r="B467" t="s">
        <v>14</v>
      </c>
      <c r="C467" t="s">
        <v>1768</v>
      </c>
      <c r="D467" t="s">
        <v>57</v>
      </c>
      <c r="E467" t="s">
        <v>1769</v>
      </c>
      <c r="F467" t="s">
        <v>18</v>
      </c>
      <c r="G467" t="s">
        <v>19</v>
      </c>
      <c r="H467">
        <v>0</v>
      </c>
      <c r="I467">
        <v>1080</v>
      </c>
      <c r="J467">
        <v>450</v>
      </c>
      <c r="K467">
        <v>486000</v>
      </c>
      <c r="L467">
        <v>0</v>
      </c>
      <c r="M467">
        <v>486000</v>
      </c>
      <c r="N467" t="s">
        <v>1770</v>
      </c>
      <c r="O467" t="s">
        <v>21</v>
      </c>
    </row>
    <row r="468" spans="1:15" x14ac:dyDescent="0.3">
      <c r="A468" t="str">
        <f t="shared" si="7"/>
        <v>OPPWED0000034-IV</v>
      </c>
      <c r="B468" t="s">
        <v>14</v>
      </c>
      <c r="C468" t="s">
        <v>457</v>
      </c>
      <c r="D468" t="s">
        <v>214</v>
      </c>
      <c r="E468" t="s">
        <v>458</v>
      </c>
      <c r="F468" t="s">
        <v>18</v>
      </c>
      <c r="G468" t="s">
        <v>83</v>
      </c>
      <c r="H468">
        <v>0</v>
      </c>
      <c r="I468">
        <v>400</v>
      </c>
      <c r="J468">
        <v>160</v>
      </c>
      <c r="K468">
        <v>64000</v>
      </c>
      <c r="L468">
        <v>0</v>
      </c>
      <c r="M468">
        <v>64000</v>
      </c>
      <c r="N468" t="s">
        <v>459</v>
      </c>
      <c r="O468" t="s">
        <v>21</v>
      </c>
    </row>
    <row r="469" spans="1:15" x14ac:dyDescent="0.3">
      <c r="A469" t="str">
        <f t="shared" si="7"/>
        <v>OPPWED0000034-IV</v>
      </c>
      <c r="B469" t="s">
        <v>14</v>
      </c>
      <c r="C469" t="s">
        <v>457</v>
      </c>
      <c r="D469" t="s">
        <v>214</v>
      </c>
      <c r="E469" t="s">
        <v>458</v>
      </c>
      <c r="F469" t="s">
        <v>18</v>
      </c>
      <c r="G469" t="s">
        <v>49</v>
      </c>
      <c r="H469">
        <v>0</v>
      </c>
      <c r="I469">
        <v>1400</v>
      </c>
      <c r="J469">
        <v>160</v>
      </c>
      <c r="K469">
        <v>224000</v>
      </c>
      <c r="L469">
        <v>0</v>
      </c>
      <c r="M469">
        <v>224000</v>
      </c>
      <c r="N469" t="s">
        <v>459</v>
      </c>
      <c r="O469" t="s">
        <v>21</v>
      </c>
    </row>
    <row r="470" spans="1:15" x14ac:dyDescent="0.3">
      <c r="A470" t="str">
        <f t="shared" si="7"/>
        <v>OPPWED0000039-IV</v>
      </c>
      <c r="B470" t="s">
        <v>14</v>
      </c>
      <c r="C470" t="s">
        <v>460</v>
      </c>
      <c r="D470" t="s">
        <v>214</v>
      </c>
      <c r="E470" t="s">
        <v>461</v>
      </c>
      <c r="F470" t="s">
        <v>18</v>
      </c>
      <c r="G470" t="s">
        <v>83</v>
      </c>
      <c r="H470">
        <v>0</v>
      </c>
      <c r="I470">
        <v>100</v>
      </c>
      <c r="J470">
        <v>280</v>
      </c>
      <c r="K470">
        <v>28000</v>
      </c>
      <c r="L470">
        <v>0</v>
      </c>
      <c r="M470">
        <v>28000</v>
      </c>
      <c r="N470" t="s">
        <v>462</v>
      </c>
      <c r="O470" t="s">
        <v>21</v>
      </c>
    </row>
    <row r="471" spans="1:15" x14ac:dyDescent="0.3">
      <c r="A471" t="str">
        <f t="shared" si="7"/>
        <v>OPPWED0000039-IV</v>
      </c>
      <c r="B471" t="s">
        <v>14</v>
      </c>
      <c r="C471" t="s">
        <v>460</v>
      </c>
      <c r="D471" t="s">
        <v>214</v>
      </c>
      <c r="E471" t="s">
        <v>461</v>
      </c>
      <c r="F471" t="s">
        <v>18</v>
      </c>
      <c r="G471" t="s">
        <v>35</v>
      </c>
      <c r="H471">
        <v>0</v>
      </c>
      <c r="I471">
        <v>3600</v>
      </c>
      <c r="J471">
        <v>280</v>
      </c>
      <c r="K471">
        <v>1008000</v>
      </c>
      <c r="L471">
        <v>0</v>
      </c>
      <c r="M471">
        <v>1008000</v>
      </c>
      <c r="N471" t="s">
        <v>462</v>
      </c>
      <c r="O471" t="s">
        <v>21</v>
      </c>
    </row>
    <row r="472" spans="1:15" x14ac:dyDescent="0.3">
      <c r="A472" t="str">
        <f t="shared" si="7"/>
        <v>OPPWED0000039-IV</v>
      </c>
      <c r="B472" t="s">
        <v>14</v>
      </c>
      <c r="C472" t="s">
        <v>460</v>
      </c>
      <c r="D472" t="s">
        <v>214</v>
      </c>
      <c r="E472" t="s">
        <v>461</v>
      </c>
      <c r="F472" t="s">
        <v>18</v>
      </c>
      <c r="G472" t="s">
        <v>19</v>
      </c>
      <c r="H472">
        <v>0</v>
      </c>
      <c r="I472">
        <v>5400</v>
      </c>
      <c r="J472">
        <v>280</v>
      </c>
      <c r="K472">
        <v>1512000</v>
      </c>
      <c r="L472">
        <v>0</v>
      </c>
      <c r="M472">
        <v>1512000</v>
      </c>
      <c r="N472" t="s">
        <v>462</v>
      </c>
      <c r="O472" t="s">
        <v>21</v>
      </c>
    </row>
    <row r="473" spans="1:15" x14ac:dyDescent="0.3">
      <c r="A473" t="str">
        <f t="shared" si="7"/>
        <v>OPPWED0000039-IV</v>
      </c>
      <c r="B473" t="s">
        <v>14</v>
      </c>
      <c r="C473" t="s">
        <v>460</v>
      </c>
      <c r="D473" t="s">
        <v>214</v>
      </c>
      <c r="E473" t="s">
        <v>461</v>
      </c>
      <c r="F473" t="s">
        <v>18</v>
      </c>
      <c r="G473" t="s">
        <v>49</v>
      </c>
      <c r="H473">
        <v>0</v>
      </c>
      <c r="I473">
        <v>1800</v>
      </c>
      <c r="J473">
        <v>280</v>
      </c>
      <c r="K473">
        <v>504000</v>
      </c>
      <c r="L473">
        <v>0</v>
      </c>
      <c r="M473">
        <v>504000</v>
      </c>
      <c r="N473" t="s">
        <v>462</v>
      </c>
      <c r="O473" t="s">
        <v>21</v>
      </c>
    </row>
    <row r="474" spans="1:15" x14ac:dyDescent="0.3">
      <c r="A474" t="str">
        <f t="shared" si="7"/>
        <v>OPPWED0000133-NWW</v>
      </c>
      <c r="B474" t="s">
        <v>14</v>
      </c>
      <c r="C474" t="s">
        <v>1771</v>
      </c>
      <c r="D474" t="s">
        <v>464</v>
      </c>
      <c r="E474" t="s">
        <v>1772</v>
      </c>
      <c r="F474" t="s">
        <v>18</v>
      </c>
      <c r="G474" t="s">
        <v>23</v>
      </c>
      <c r="H474">
        <v>0</v>
      </c>
      <c r="I474">
        <v>400</v>
      </c>
      <c r="J474">
        <v>270</v>
      </c>
      <c r="K474">
        <v>108000</v>
      </c>
      <c r="L474">
        <v>0</v>
      </c>
      <c r="M474">
        <v>108000</v>
      </c>
      <c r="N474" t="s">
        <v>273</v>
      </c>
      <c r="O474" t="s">
        <v>21</v>
      </c>
    </row>
    <row r="475" spans="1:15" x14ac:dyDescent="0.3">
      <c r="A475" t="str">
        <f t="shared" si="7"/>
        <v>OPPWED0000138-NWW</v>
      </c>
      <c r="B475" t="s">
        <v>14</v>
      </c>
      <c r="C475" t="s">
        <v>463</v>
      </c>
      <c r="D475" t="s">
        <v>464</v>
      </c>
      <c r="E475" t="s">
        <v>465</v>
      </c>
      <c r="F475" t="s">
        <v>18</v>
      </c>
      <c r="G475" t="s">
        <v>49</v>
      </c>
      <c r="H475">
        <v>0</v>
      </c>
      <c r="I475">
        <v>400</v>
      </c>
      <c r="J475">
        <v>400</v>
      </c>
      <c r="K475">
        <v>160000</v>
      </c>
      <c r="L475">
        <v>0</v>
      </c>
      <c r="M475">
        <v>160000</v>
      </c>
      <c r="N475" t="s">
        <v>285</v>
      </c>
      <c r="O475" t="s">
        <v>21</v>
      </c>
    </row>
    <row r="476" spans="1:15" x14ac:dyDescent="0.3">
      <c r="A476" t="str">
        <f t="shared" si="7"/>
        <v>OPPWED0000237-SP</v>
      </c>
      <c r="B476" t="s">
        <v>14</v>
      </c>
      <c r="C476" t="s">
        <v>466</v>
      </c>
      <c r="D476" t="s">
        <v>201</v>
      </c>
      <c r="E476" t="s">
        <v>467</v>
      </c>
      <c r="F476" t="s">
        <v>18</v>
      </c>
      <c r="G476" t="s">
        <v>49</v>
      </c>
      <c r="H476">
        <v>0</v>
      </c>
      <c r="I476">
        <v>600</v>
      </c>
      <c r="J476">
        <v>270</v>
      </c>
      <c r="K476">
        <v>162000</v>
      </c>
      <c r="L476">
        <v>0</v>
      </c>
      <c r="M476">
        <v>162000</v>
      </c>
      <c r="N476" t="s">
        <v>273</v>
      </c>
      <c r="O476" t="s">
        <v>21</v>
      </c>
    </row>
    <row r="477" spans="1:15" x14ac:dyDescent="0.3">
      <c r="A477" t="str">
        <f t="shared" si="7"/>
        <v>OPPWED0000237-SP</v>
      </c>
      <c r="B477" t="s">
        <v>14</v>
      </c>
      <c r="C477" t="s">
        <v>466</v>
      </c>
      <c r="D477" t="s">
        <v>201</v>
      </c>
      <c r="E477" t="s">
        <v>467</v>
      </c>
      <c r="F477" t="s">
        <v>18</v>
      </c>
      <c r="G477" t="s">
        <v>23</v>
      </c>
      <c r="H477">
        <v>0</v>
      </c>
      <c r="I477">
        <v>3000</v>
      </c>
      <c r="J477">
        <v>270</v>
      </c>
      <c r="K477">
        <v>810000</v>
      </c>
      <c r="L477">
        <v>0</v>
      </c>
      <c r="M477">
        <v>810000</v>
      </c>
      <c r="N477" t="s">
        <v>273</v>
      </c>
      <c r="O477" t="s">
        <v>21</v>
      </c>
    </row>
    <row r="478" spans="1:15" x14ac:dyDescent="0.3">
      <c r="A478" t="str">
        <f t="shared" si="7"/>
        <v>OPPWED0000237-SP</v>
      </c>
      <c r="B478" t="s">
        <v>14</v>
      </c>
      <c r="C478" t="s">
        <v>466</v>
      </c>
      <c r="D478" t="s">
        <v>201</v>
      </c>
      <c r="E478" t="s">
        <v>467</v>
      </c>
      <c r="F478" t="s">
        <v>18</v>
      </c>
      <c r="G478" t="s">
        <v>63</v>
      </c>
      <c r="H478">
        <v>0</v>
      </c>
      <c r="I478">
        <v>400</v>
      </c>
      <c r="J478">
        <v>270</v>
      </c>
      <c r="K478">
        <v>108000</v>
      </c>
      <c r="L478">
        <v>0</v>
      </c>
      <c r="M478">
        <v>108000</v>
      </c>
      <c r="N478" t="s">
        <v>273</v>
      </c>
      <c r="O478" t="s">
        <v>21</v>
      </c>
    </row>
    <row r="479" spans="1:15" x14ac:dyDescent="0.3">
      <c r="A479" t="str">
        <f t="shared" si="7"/>
        <v>OPPWED0000237-SP</v>
      </c>
      <c r="B479" t="s">
        <v>14</v>
      </c>
      <c r="C479" t="s">
        <v>466</v>
      </c>
      <c r="D479" t="s">
        <v>201</v>
      </c>
      <c r="E479" t="s">
        <v>467</v>
      </c>
      <c r="F479" t="s">
        <v>18</v>
      </c>
      <c r="G479" t="s">
        <v>26</v>
      </c>
      <c r="H479">
        <v>0</v>
      </c>
      <c r="I479">
        <v>200</v>
      </c>
      <c r="J479">
        <v>270</v>
      </c>
      <c r="K479">
        <v>54000</v>
      </c>
      <c r="L479">
        <v>0</v>
      </c>
      <c r="M479">
        <v>54000</v>
      </c>
      <c r="N479" t="s">
        <v>273</v>
      </c>
      <c r="O479" t="s">
        <v>21</v>
      </c>
    </row>
    <row r="480" spans="1:15" x14ac:dyDescent="0.3">
      <c r="A480" t="str">
        <f t="shared" si="7"/>
        <v>OPPWED0000242-SP</v>
      </c>
      <c r="B480" t="s">
        <v>14</v>
      </c>
      <c r="C480" t="s">
        <v>468</v>
      </c>
      <c r="D480" t="s">
        <v>201</v>
      </c>
      <c r="E480" t="s">
        <v>469</v>
      </c>
      <c r="F480" t="s">
        <v>18</v>
      </c>
      <c r="G480" t="s">
        <v>239</v>
      </c>
      <c r="H480">
        <v>0</v>
      </c>
      <c r="I480">
        <v>900</v>
      </c>
      <c r="J480">
        <v>280</v>
      </c>
      <c r="K480">
        <v>252000</v>
      </c>
      <c r="L480">
        <v>0</v>
      </c>
      <c r="M480">
        <v>252000</v>
      </c>
      <c r="N480" t="s">
        <v>470</v>
      </c>
      <c r="O480" t="s">
        <v>21</v>
      </c>
    </row>
    <row r="481" spans="1:15" x14ac:dyDescent="0.3">
      <c r="A481" t="str">
        <f t="shared" si="7"/>
        <v>OPPWED0000329-OCY</v>
      </c>
      <c r="B481" t="s">
        <v>14</v>
      </c>
      <c r="C481" t="s">
        <v>471</v>
      </c>
      <c r="D481" t="s">
        <v>250</v>
      </c>
      <c r="E481" t="s">
        <v>472</v>
      </c>
      <c r="F481" t="s">
        <v>18</v>
      </c>
      <c r="G481" t="s">
        <v>49</v>
      </c>
      <c r="H481">
        <v>0</v>
      </c>
      <c r="I481">
        <v>200</v>
      </c>
      <c r="J481">
        <v>390</v>
      </c>
      <c r="K481">
        <v>78000</v>
      </c>
      <c r="L481">
        <v>0</v>
      </c>
      <c r="M481">
        <v>78000</v>
      </c>
      <c r="N481" t="s">
        <v>285</v>
      </c>
      <c r="O481" t="s">
        <v>21</v>
      </c>
    </row>
    <row r="482" spans="1:15" x14ac:dyDescent="0.3">
      <c r="A482" t="str">
        <f t="shared" si="7"/>
        <v>OPPWIN0000974-BK</v>
      </c>
      <c r="B482" t="s">
        <v>14</v>
      </c>
      <c r="C482" t="s">
        <v>473</v>
      </c>
      <c r="D482" t="s">
        <v>31</v>
      </c>
      <c r="E482" t="s">
        <v>474</v>
      </c>
      <c r="F482" t="s">
        <v>18</v>
      </c>
      <c r="G482" t="s">
        <v>29</v>
      </c>
      <c r="H482">
        <v>0</v>
      </c>
      <c r="I482">
        <v>16</v>
      </c>
      <c r="J482">
        <v>4310</v>
      </c>
      <c r="K482">
        <v>68960</v>
      </c>
      <c r="L482">
        <v>0</v>
      </c>
      <c r="M482">
        <v>68960</v>
      </c>
      <c r="N482" t="s">
        <v>475</v>
      </c>
      <c r="O482" t="s">
        <v>21</v>
      </c>
    </row>
    <row r="483" spans="1:15" x14ac:dyDescent="0.3">
      <c r="A483" t="str">
        <f t="shared" si="7"/>
        <v>PPGW001483-R000-XX</v>
      </c>
      <c r="B483" t="s">
        <v>14</v>
      </c>
      <c r="C483" t="s">
        <v>476</v>
      </c>
      <c r="D483" t="s">
        <v>16</v>
      </c>
      <c r="E483" t="s">
        <v>477</v>
      </c>
      <c r="F483" t="s">
        <v>18</v>
      </c>
      <c r="G483" t="s">
        <v>26</v>
      </c>
      <c r="H483">
        <v>0</v>
      </c>
      <c r="I483">
        <v>100</v>
      </c>
      <c r="J483">
        <v>73</v>
      </c>
      <c r="K483">
        <v>7300</v>
      </c>
      <c r="L483">
        <v>0</v>
      </c>
      <c r="M483">
        <v>7300</v>
      </c>
      <c r="N483" t="s">
        <v>478</v>
      </c>
      <c r="O483" t="s">
        <v>21</v>
      </c>
    </row>
    <row r="484" spans="1:15" x14ac:dyDescent="0.3">
      <c r="A484" t="str">
        <f t="shared" si="7"/>
        <v>STCG001258-R000-MM</v>
      </c>
      <c r="B484" t="s">
        <v>14</v>
      </c>
      <c r="C484" t="s">
        <v>1773</v>
      </c>
      <c r="D484" t="s">
        <v>57</v>
      </c>
      <c r="E484" t="s">
        <v>1774</v>
      </c>
      <c r="F484" t="s">
        <v>18</v>
      </c>
      <c r="G484" t="s">
        <v>19</v>
      </c>
      <c r="H484">
        <v>0</v>
      </c>
      <c r="I484">
        <v>50</v>
      </c>
      <c r="J484">
        <v>850</v>
      </c>
      <c r="K484">
        <v>42500</v>
      </c>
      <c r="L484">
        <v>0</v>
      </c>
      <c r="M484">
        <v>42500</v>
      </c>
      <c r="N484" t="s">
        <v>1775</v>
      </c>
      <c r="O484" t="s">
        <v>21</v>
      </c>
    </row>
    <row r="485" spans="1:15" x14ac:dyDescent="0.3">
      <c r="A485" t="str">
        <f t="shared" si="7"/>
        <v>STCG001261-R000-WH</v>
      </c>
      <c r="B485" t="s">
        <v>14</v>
      </c>
      <c r="C485" t="s">
        <v>479</v>
      </c>
      <c r="D485" t="s">
        <v>65</v>
      </c>
      <c r="E485" t="s">
        <v>480</v>
      </c>
      <c r="F485" t="s">
        <v>18</v>
      </c>
      <c r="G485" t="s">
        <v>23</v>
      </c>
      <c r="H485">
        <v>0</v>
      </c>
      <c r="I485">
        <v>1200</v>
      </c>
      <c r="J485">
        <v>200</v>
      </c>
      <c r="K485">
        <v>240000</v>
      </c>
      <c r="L485">
        <v>0</v>
      </c>
      <c r="M485">
        <v>240000</v>
      </c>
      <c r="N485" t="s">
        <v>481</v>
      </c>
      <c r="O485" t="s">
        <v>21</v>
      </c>
    </row>
    <row r="486" spans="1:15" x14ac:dyDescent="0.3">
      <c r="A486" t="str">
        <f t="shared" si="7"/>
        <v>STCG001281-R000-IIV</v>
      </c>
      <c r="B486" t="s">
        <v>14</v>
      </c>
      <c r="C486" t="s">
        <v>482</v>
      </c>
      <c r="D486" t="s">
        <v>203</v>
      </c>
      <c r="E486" t="s">
        <v>483</v>
      </c>
      <c r="F486" t="s">
        <v>18</v>
      </c>
      <c r="G486" t="s">
        <v>120</v>
      </c>
      <c r="H486">
        <v>0</v>
      </c>
      <c r="I486">
        <v>2000</v>
      </c>
      <c r="J486">
        <v>660</v>
      </c>
      <c r="K486">
        <v>1320000</v>
      </c>
      <c r="L486">
        <v>0</v>
      </c>
      <c r="M486">
        <v>1320000</v>
      </c>
      <c r="N486" t="s">
        <v>484</v>
      </c>
      <c r="O486" t="s">
        <v>21</v>
      </c>
    </row>
    <row r="487" spans="1:15" x14ac:dyDescent="0.3">
      <c r="A487" t="str">
        <f t="shared" si="7"/>
        <v>STCG001281-R000-IIV</v>
      </c>
      <c r="B487" t="s">
        <v>14</v>
      </c>
      <c r="C487" t="s">
        <v>482</v>
      </c>
      <c r="D487" t="s">
        <v>203</v>
      </c>
      <c r="E487" t="s">
        <v>483</v>
      </c>
      <c r="F487" t="s">
        <v>18</v>
      </c>
      <c r="G487" t="s">
        <v>35</v>
      </c>
      <c r="H487">
        <v>0</v>
      </c>
      <c r="I487">
        <v>500</v>
      </c>
      <c r="J487">
        <v>660</v>
      </c>
      <c r="K487">
        <v>330000</v>
      </c>
      <c r="L487">
        <v>0</v>
      </c>
      <c r="M487">
        <v>330000</v>
      </c>
      <c r="N487" t="s">
        <v>484</v>
      </c>
      <c r="O487" t="s">
        <v>21</v>
      </c>
    </row>
    <row r="488" spans="1:15" x14ac:dyDescent="0.3">
      <c r="A488" t="str">
        <f t="shared" si="7"/>
        <v>STCG001281-R000-IIV</v>
      </c>
      <c r="B488" t="s">
        <v>14</v>
      </c>
      <c r="C488" t="s">
        <v>482</v>
      </c>
      <c r="D488" t="s">
        <v>203</v>
      </c>
      <c r="E488" t="s">
        <v>483</v>
      </c>
      <c r="F488" t="s">
        <v>18</v>
      </c>
      <c r="G488" t="s">
        <v>68</v>
      </c>
      <c r="H488">
        <v>0</v>
      </c>
      <c r="I488">
        <v>1500</v>
      </c>
      <c r="J488">
        <v>660</v>
      </c>
      <c r="K488">
        <v>990000</v>
      </c>
      <c r="L488">
        <v>0</v>
      </c>
      <c r="M488">
        <v>990000</v>
      </c>
      <c r="N488" t="s">
        <v>484</v>
      </c>
      <c r="O488" t="s">
        <v>21</v>
      </c>
    </row>
    <row r="489" spans="1:15" x14ac:dyDescent="0.3">
      <c r="A489" t="str">
        <f t="shared" si="7"/>
        <v>STCG001281-R000-IIV</v>
      </c>
      <c r="B489" t="s">
        <v>14</v>
      </c>
      <c r="C489" t="s">
        <v>482</v>
      </c>
      <c r="D489" t="s">
        <v>203</v>
      </c>
      <c r="E489" t="s">
        <v>483</v>
      </c>
      <c r="F489" t="s">
        <v>18</v>
      </c>
      <c r="G489" t="s">
        <v>19</v>
      </c>
      <c r="H489">
        <v>0</v>
      </c>
      <c r="I489">
        <v>1500</v>
      </c>
      <c r="J489">
        <v>660</v>
      </c>
      <c r="K489">
        <v>990000</v>
      </c>
      <c r="L489">
        <v>0</v>
      </c>
      <c r="M489">
        <v>990000</v>
      </c>
      <c r="N489" t="s">
        <v>484</v>
      </c>
      <c r="O489" t="s">
        <v>21</v>
      </c>
    </row>
    <row r="490" spans="1:15" x14ac:dyDescent="0.3">
      <c r="A490" t="str">
        <f t="shared" si="7"/>
        <v>STCG001283-R000-IIV</v>
      </c>
      <c r="B490" t="s">
        <v>14</v>
      </c>
      <c r="C490" t="s">
        <v>485</v>
      </c>
      <c r="D490" t="s">
        <v>203</v>
      </c>
      <c r="E490" t="s">
        <v>486</v>
      </c>
      <c r="F490" t="s">
        <v>18</v>
      </c>
      <c r="G490" t="s">
        <v>19</v>
      </c>
      <c r="H490">
        <v>0</v>
      </c>
      <c r="I490">
        <v>1000</v>
      </c>
      <c r="J490">
        <v>660</v>
      </c>
      <c r="K490">
        <v>660000</v>
      </c>
      <c r="L490">
        <v>0</v>
      </c>
      <c r="M490">
        <v>660000</v>
      </c>
      <c r="O490" t="s">
        <v>21</v>
      </c>
    </row>
    <row r="491" spans="1:15" x14ac:dyDescent="0.3">
      <c r="A491" t="str">
        <f t="shared" si="7"/>
        <v>STCG001308-R000-MM</v>
      </c>
      <c r="B491" t="s">
        <v>14</v>
      </c>
      <c r="C491" t="s">
        <v>487</v>
      </c>
      <c r="D491" t="s">
        <v>57</v>
      </c>
      <c r="E491" t="s">
        <v>488</v>
      </c>
      <c r="F491" t="s">
        <v>18</v>
      </c>
      <c r="G491" t="s">
        <v>23</v>
      </c>
      <c r="H491">
        <v>0</v>
      </c>
      <c r="I491">
        <v>64</v>
      </c>
      <c r="J491">
        <v>8680</v>
      </c>
      <c r="K491">
        <v>555520</v>
      </c>
      <c r="L491">
        <v>0</v>
      </c>
      <c r="M491">
        <v>555520</v>
      </c>
      <c r="N491" t="s">
        <v>489</v>
      </c>
      <c r="O491" t="s">
        <v>21</v>
      </c>
    </row>
    <row r="492" spans="1:15" x14ac:dyDescent="0.3">
      <c r="A492" t="str">
        <f t="shared" si="7"/>
        <v>STCG001323-R000-BK</v>
      </c>
      <c r="B492" t="s">
        <v>14</v>
      </c>
      <c r="C492" t="s">
        <v>491</v>
      </c>
      <c r="D492" t="s">
        <v>31</v>
      </c>
      <c r="E492" t="s">
        <v>492</v>
      </c>
      <c r="F492" t="s">
        <v>18</v>
      </c>
      <c r="G492" t="s">
        <v>23</v>
      </c>
      <c r="H492">
        <v>0</v>
      </c>
      <c r="I492">
        <v>64</v>
      </c>
      <c r="J492">
        <v>780</v>
      </c>
      <c r="K492">
        <v>49920</v>
      </c>
      <c r="L492">
        <v>0</v>
      </c>
      <c r="M492">
        <v>49920</v>
      </c>
      <c r="N492" t="s">
        <v>493</v>
      </c>
      <c r="O492" t="s">
        <v>21</v>
      </c>
    </row>
    <row r="493" spans="1:15" x14ac:dyDescent="0.3">
      <c r="A493" t="str">
        <f t="shared" si="7"/>
        <v>STCG001324-R000-ZN</v>
      </c>
      <c r="B493" t="s">
        <v>14</v>
      </c>
      <c r="C493" t="s">
        <v>494</v>
      </c>
      <c r="D493" t="s">
        <v>490</v>
      </c>
      <c r="E493" t="s">
        <v>495</v>
      </c>
      <c r="F493" t="s">
        <v>18</v>
      </c>
      <c r="G493" t="s">
        <v>29</v>
      </c>
      <c r="H493">
        <v>0</v>
      </c>
      <c r="I493">
        <v>2</v>
      </c>
      <c r="J493">
        <v>1140</v>
      </c>
      <c r="K493">
        <v>2280</v>
      </c>
      <c r="L493">
        <v>0</v>
      </c>
      <c r="M493">
        <v>2280</v>
      </c>
      <c r="N493" t="s">
        <v>496</v>
      </c>
      <c r="O493" t="s">
        <v>21</v>
      </c>
    </row>
    <row r="494" spans="1:15" x14ac:dyDescent="0.3">
      <c r="A494" t="str">
        <f t="shared" si="7"/>
        <v>STCG001325-R000-MM</v>
      </c>
      <c r="B494" t="s">
        <v>14</v>
      </c>
      <c r="C494" t="s">
        <v>497</v>
      </c>
      <c r="D494" t="s">
        <v>57</v>
      </c>
      <c r="E494" t="s">
        <v>498</v>
      </c>
      <c r="F494" t="s">
        <v>18</v>
      </c>
      <c r="G494" t="s">
        <v>22</v>
      </c>
      <c r="H494">
        <v>0</v>
      </c>
      <c r="I494">
        <v>2</v>
      </c>
      <c r="J494">
        <v>1200</v>
      </c>
      <c r="K494">
        <v>2400</v>
      </c>
      <c r="L494">
        <v>0</v>
      </c>
      <c r="M494">
        <v>2400</v>
      </c>
      <c r="N494" t="s">
        <v>499</v>
      </c>
      <c r="O494" t="s">
        <v>21</v>
      </c>
    </row>
    <row r="495" spans="1:15" x14ac:dyDescent="0.3">
      <c r="A495" t="str">
        <f t="shared" si="7"/>
        <v>STCG001325-R000-MM</v>
      </c>
      <c r="B495" t="s">
        <v>14</v>
      </c>
      <c r="C495" t="s">
        <v>497</v>
      </c>
      <c r="D495" t="s">
        <v>57</v>
      </c>
      <c r="E495" t="s">
        <v>498</v>
      </c>
      <c r="F495" t="s">
        <v>18</v>
      </c>
      <c r="G495" t="s">
        <v>23</v>
      </c>
      <c r="H495">
        <v>0</v>
      </c>
      <c r="I495">
        <v>100</v>
      </c>
      <c r="J495">
        <v>1330</v>
      </c>
      <c r="K495">
        <v>133000</v>
      </c>
      <c r="L495">
        <v>0</v>
      </c>
      <c r="M495">
        <v>133000</v>
      </c>
      <c r="N495" t="s">
        <v>499</v>
      </c>
      <c r="O495" t="s">
        <v>21</v>
      </c>
    </row>
    <row r="496" spans="1:15" x14ac:dyDescent="0.3">
      <c r="A496" t="str">
        <f t="shared" si="7"/>
        <v>STCG001326-R000-WH</v>
      </c>
      <c r="B496" t="s">
        <v>14</v>
      </c>
      <c r="C496" t="s">
        <v>500</v>
      </c>
      <c r="D496" t="s">
        <v>65</v>
      </c>
      <c r="E496" t="s">
        <v>501</v>
      </c>
      <c r="F496" t="s">
        <v>18</v>
      </c>
      <c r="G496" t="s">
        <v>35</v>
      </c>
      <c r="H496">
        <v>0</v>
      </c>
      <c r="I496">
        <v>600</v>
      </c>
      <c r="J496">
        <v>150</v>
      </c>
      <c r="K496">
        <v>90000</v>
      </c>
      <c r="L496">
        <v>0</v>
      </c>
      <c r="M496">
        <v>90000</v>
      </c>
      <c r="N496" t="s">
        <v>502</v>
      </c>
      <c r="O496" t="s">
        <v>21</v>
      </c>
    </row>
    <row r="497" spans="1:15" x14ac:dyDescent="0.3">
      <c r="A497" t="str">
        <f t="shared" si="7"/>
        <v>STCG001326-R000-WH</v>
      </c>
      <c r="B497" t="s">
        <v>14</v>
      </c>
      <c r="C497" t="s">
        <v>500</v>
      </c>
      <c r="D497" t="s">
        <v>65</v>
      </c>
      <c r="E497" t="s">
        <v>501</v>
      </c>
      <c r="F497" t="s">
        <v>18</v>
      </c>
      <c r="G497" t="s">
        <v>68</v>
      </c>
      <c r="H497">
        <v>0</v>
      </c>
      <c r="I497">
        <v>2000</v>
      </c>
      <c r="J497">
        <v>150</v>
      </c>
      <c r="K497">
        <v>300000</v>
      </c>
      <c r="L497">
        <v>0</v>
      </c>
      <c r="M497">
        <v>300000</v>
      </c>
      <c r="N497" t="s">
        <v>502</v>
      </c>
      <c r="O497" t="s">
        <v>21</v>
      </c>
    </row>
    <row r="498" spans="1:15" x14ac:dyDescent="0.3">
      <c r="A498" t="str">
        <f t="shared" si="7"/>
        <v>STCG001327-R000-TS</v>
      </c>
      <c r="B498" t="s">
        <v>14</v>
      </c>
      <c r="C498" t="s">
        <v>503</v>
      </c>
      <c r="D498" t="s">
        <v>168</v>
      </c>
      <c r="E498" t="s">
        <v>504</v>
      </c>
      <c r="F498" t="s">
        <v>18</v>
      </c>
      <c r="G498" t="s">
        <v>35</v>
      </c>
      <c r="H498">
        <v>0</v>
      </c>
      <c r="I498">
        <v>1200</v>
      </c>
      <c r="J498">
        <v>4820</v>
      </c>
      <c r="K498">
        <v>5784000</v>
      </c>
      <c r="L498">
        <v>0</v>
      </c>
      <c r="M498">
        <v>5784000</v>
      </c>
      <c r="N498" t="s">
        <v>505</v>
      </c>
      <c r="O498" t="s">
        <v>21</v>
      </c>
    </row>
    <row r="499" spans="1:15" x14ac:dyDescent="0.3">
      <c r="A499" t="str">
        <f t="shared" si="7"/>
        <v>STCG001329-R000-TS</v>
      </c>
      <c r="B499" t="s">
        <v>14</v>
      </c>
      <c r="C499" t="s">
        <v>506</v>
      </c>
      <c r="D499" t="s">
        <v>168</v>
      </c>
      <c r="E499" t="s">
        <v>507</v>
      </c>
      <c r="F499" t="s">
        <v>18</v>
      </c>
      <c r="G499" t="s">
        <v>23</v>
      </c>
      <c r="H499">
        <v>0</v>
      </c>
      <c r="I499">
        <v>10</v>
      </c>
      <c r="J499">
        <v>14420</v>
      </c>
      <c r="K499">
        <v>144200</v>
      </c>
      <c r="L499">
        <v>0</v>
      </c>
      <c r="M499">
        <v>144200</v>
      </c>
      <c r="N499" t="s">
        <v>508</v>
      </c>
      <c r="O499" t="s">
        <v>21</v>
      </c>
    </row>
    <row r="500" spans="1:15" x14ac:dyDescent="0.3">
      <c r="A500" t="str">
        <f t="shared" si="7"/>
        <v>STCG001334-R000-ZN</v>
      </c>
      <c r="B500" t="s">
        <v>14</v>
      </c>
      <c r="C500" t="s">
        <v>509</v>
      </c>
      <c r="D500" t="s">
        <v>490</v>
      </c>
      <c r="E500" t="s">
        <v>510</v>
      </c>
      <c r="F500" t="s">
        <v>18</v>
      </c>
      <c r="G500" t="s">
        <v>29</v>
      </c>
      <c r="H500">
        <v>0</v>
      </c>
      <c r="I500">
        <v>2</v>
      </c>
      <c r="J500">
        <v>1000</v>
      </c>
      <c r="K500">
        <v>2000</v>
      </c>
      <c r="L500">
        <v>0</v>
      </c>
      <c r="M500">
        <v>2000</v>
      </c>
      <c r="O500" t="s">
        <v>21</v>
      </c>
    </row>
    <row r="501" spans="1:15" x14ac:dyDescent="0.3">
      <c r="A501" t="str">
        <f t="shared" si="7"/>
        <v>STCG001341-R000-WW</v>
      </c>
      <c r="B501" t="s">
        <v>14</v>
      </c>
      <c r="C501" t="s">
        <v>511</v>
      </c>
      <c r="D501" t="s">
        <v>28</v>
      </c>
      <c r="E501" t="s">
        <v>512</v>
      </c>
      <c r="F501" t="s">
        <v>18</v>
      </c>
      <c r="G501" t="s">
        <v>35</v>
      </c>
      <c r="H501">
        <v>0</v>
      </c>
      <c r="I501">
        <v>50</v>
      </c>
      <c r="J501">
        <v>2390</v>
      </c>
      <c r="K501">
        <v>119500</v>
      </c>
      <c r="L501">
        <v>0</v>
      </c>
      <c r="M501">
        <v>119500</v>
      </c>
      <c r="N501" t="s">
        <v>513</v>
      </c>
      <c r="O501" t="s">
        <v>21</v>
      </c>
    </row>
    <row r="502" spans="1:15" x14ac:dyDescent="0.3">
      <c r="A502" t="str">
        <f t="shared" si="7"/>
        <v>STCG001345-R000-BK</v>
      </c>
      <c r="B502" t="s">
        <v>14</v>
      </c>
      <c r="C502" t="s">
        <v>1776</v>
      </c>
      <c r="D502" t="s">
        <v>31</v>
      </c>
      <c r="E502" t="s">
        <v>1777</v>
      </c>
      <c r="F502" t="s">
        <v>18</v>
      </c>
      <c r="G502" t="s">
        <v>22</v>
      </c>
      <c r="H502">
        <v>0</v>
      </c>
      <c r="I502">
        <v>1</v>
      </c>
      <c r="J502">
        <v>980</v>
      </c>
      <c r="K502">
        <v>980</v>
      </c>
      <c r="L502">
        <v>0</v>
      </c>
      <c r="M502">
        <v>980</v>
      </c>
      <c r="N502" t="s">
        <v>1778</v>
      </c>
      <c r="O502" t="s">
        <v>21</v>
      </c>
    </row>
    <row r="503" spans="1:15" x14ac:dyDescent="0.3">
      <c r="A503" t="str">
        <f t="shared" si="7"/>
        <v>STCG001351-R000-BG</v>
      </c>
      <c r="B503" t="s">
        <v>14</v>
      </c>
      <c r="C503" t="s">
        <v>514</v>
      </c>
      <c r="D503" t="s">
        <v>200</v>
      </c>
      <c r="E503" t="s">
        <v>515</v>
      </c>
      <c r="F503" t="s">
        <v>18</v>
      </c>
      <c r="G503" t="s">
        <v>19</v>
      </c>
      <c r="H503">
        <v>0</v>
      </c>
      <c r="I503">
        <v>500</v>
      </c>
      <c r="J503">
        <v>1670</v>
      </c>
      <c r="K503">
        <v>835000</v>
      </c>
      <c r="L503">
        <v>0</v>
      </c>
      <c r="M503">
        <v>835000</v>
      </c>
      <c r="N503" t="s">
        <v>516</v>
      </c>
      <c r="O503" t="s">
        <v>21</v>
      </c>
    </row>
    <row r="504" spans="1:15" x14ac:dyDescent="0.3">
      <c r="A504" t="str">
        <f t="shared" si="7"/>
        <v>STCG001351-R000-BG</v>
      </c>
      <c r="B504" t="s">
        <v>14</v>
      </c>
      <c r="C504" t="s">
        <v>514</v>
      </c>
      <c r="D504" t="s">
        <v>200</v>
      </c>
      <c r="E504" t="s">
        <v>515</v>
      </c>
      <c r="F504" t="s">
        <v>18</v>
      </c>
      <c r="G504" t="s">
        <v>35</v>
      </c>
      <c r="H504">
        <v>0</v>
      </c>
      <c r="I504">
        <v>200</v>
      </c>
      <c r="J504">
        <v>1670</v>
      </c>
      <c r="K504">
        <v>334000</v>
      </c>
      <c r="L504">
        <v>0</v>
      </c>
      <c r="M504">
        <v>334000</v>
      </c>
      <c r="N504" t="s">
        <v>516</v>
      </c>
      <c r="O504" t="s">
        <v>21</v>
      </c>
    </row>
    <row r="505" spans="1:15" x14ac:dyDescent="0.3">
      <c r="A505" t="str">
        <f t="shared" si="7"/>
        <v>STCG001512-R000-WH</v>
      </c>
      <c r="B505" t="s">
        <v>14</v>
      </c>
      <c r="C505" t="s">
        <v>517</v>
      </c>
      <c r="D505" t="s">
        <v>65</v>
      </c>
      <c r="E505" t="s">
        <v>518</v>
      </c>
      <c r="F505" t="s">
        <v>18</v>
      </c>
      <c r="G505" t="s">
        <v>29</v>
      </c>
      <c r="H505">
        <v>0</v>
      </c>
      <c r="I505">
        <v>1</v>
      </c>
      <c r="J505">
        <v>1030</v>
      </c>
      <c r="K505">
        <v>1030</v>
      </c>
      <c r="L505">
        <v>0</v>
      </c>
      <c r="M505">
        <v>1030</v>
      </c>
      <c r="N505" t="s">
        <v>519</v>
      </c>
      <c r="O505" t="s">
        <v>21</v>
      </c>
    </row>
    <row r="506" spans="1:15" x14ac:dyDescent="0.3">
      <c r="A506" t="str">
        <f t="shared" si="7"/>
        <v>STCG001513-R000-WH</v>
      </c>
      <c r="B506" t="s">
        <v>14</v>
      </c>
      <c r="C506" t="s">
        <v>520</v>
      </c>
      <c r="D506" t="s">
        <v>65</v>
      </c>
      <c r="E506" t="s">
        <v>521</v>
      </c>
      <c r="F506" t="s">
        <v>18</v>
      </c>
      <c r="G506" t="s">
        <v>23</v>
      </c>
      <c r="H506">
        <v>0</v>
      </c>
      <c r="I506">
        <v>64</v>
      </c>
      <c r="J506">
        <v>1120</v>
      </c>
      <c r="K506">
        <v>71680</v>
      </c>
      <c r="L506">
        <v>0</v>
      </c>
      <c r="M506">
        <v>71680</v>
      </c>
      <c r="N506" t="s">
        <v>522</v>
      </c>
      <c r="O506" t="s">
        <v>21</v>
      </c>
    </row>
    <row r="507" spans="1:15" x14ac:dyDescent="0.3">
      <c r="A507" t="str">
        <f t="shared" si="7"/>
        <v>STCG001513-R000-WH</v>
      </c>
      <c r="B507" t="s">
        <v>14</v>
      </c>
      <c r="C507" t="s">
        <v>520</v>
      </c>
      <c r="D507" t="s">
        <v>65</v>
      </c>
      <c r="E507" t="s">
        <v>521</v>
      </c>
      <c r="F507" t="s">
        <v>18</v>
      </c>
      <c r="G507" t="s">
        <v>29</v>
      </c>
      <c r="H507">
        <v>0</v>
      </c>
      <c r="I507">
        <v>18</v>
      </c>
      <c r="J507">
        <v>1120</v>
      </c>
      <c r="K507">
        <v>20160</v>
      </c>
      <c r="L507">
        <v>0</v>
      </c>
      <c r="M507">
        <v>20160</v>
      </c>
      <c r="N507" t="s">
        <v>522</v>
      </c>
      <c r="O507" t="s">
        <v>21</v>
      </c>
    </row>
    <row r="508" spans="1:15" x14ac:dyDescent="0.3">
      <c r="A508" t="str">
        <f t="shared" si="7"/>
        <v>STCG001688-R000-WH</v>
      </c>
      <c r="B508" t="s">
        <v>14</v>
      </c>
      <c r="C508" t="s">
        <v>523</v>
      </c>
      <c r="D508" t="s">
        <v>65</v>
      </c>
      <c r="E508" t="s">
        <v>524</v>
      </c>
      <c r="F508" t="s">
        <v>18</v>
      </c>
      <c r="G508" t="s">
        <v>119</v>
      </c>
      <c r="H508">
        <v>0</v>
      </c>
      <c r="I508">
        <v>0</v>
      </c>
      <c r="J508">
        <v>1350</v>
      </c>
      <c r="K508">
        <v>0</v>
      </c>
      <c r="L508">
        <v>0</v>
      </c>
      <c r="M508">
        <v>0</v>
      </c>
      <c r="N508" t="s">
        <v>525</v>
      </c>
      <c r="O508" t="s">
        <v>21</v>
      </c>
    </row>
    <row r="509" spans="1:15" x14ac:dyDescent="0.3">
      <c r="A509" t="str">
        <f t="shared" si="7"/>
        <v>STCG001688-R000-WH</v>
      </c>
      <c r="B509" t="s">
        <v>14</v>
      </c>
      <c r="C509" t="s">
        <v>523</v>
      </c>
      <c r="D509" t="s">
        <v>65</v>
      </c>
      <c r="E509" t="s">
        <v>524</v>
      </c>
      <c r="F509" t="s">
        <v>18</v>
      </c>
      <c r="G509" t="s">
        <v>23</v>
      </c>
      <c r="H509">
        <v>0</v>
      </c>
      <c r="I509">
        <v>64</v>
      </c>
      <c r="J509">
        <v>1350</v>
      </c>
      <c r="K509">
        <v>86400</v>
      </c>
      <c r="L509">
        <v>0</v>
      </c>
      <c r="M509">
        <v>86400</v>
      </c>
      <c r="N509" t="s">
        <v>525</v>
      </c>
      <c r="O509" t="s">
        <v>21</v>
      </c>
    </row>
    <row r="510" spans="1:15" x14ac:dyDescent="0.3">
      <c r="A510" t="str">
        <f t="shared" si="7"/>
        <v>STCG003560-R001-NI</v>
      </c>
      <c r="B510" t="s">
        <v>14</v>
      </c>
      <c r="C510" t="s">
        <v>526</v>
      </c>
      <c r="D510" t="s">
        <v>67</v>
      </c>
      <c r="E510" t="s">
        <v>527</v>
      </c>
      <c r="F510" t="s">
        <v>18</v>
      </c>
      <c r="G510" t="s">
        <v>49</v>
      </c>
      <c r="H510">
        <v>0</v>
      </c>
      <c r="I510">
        <v>300</v>
      </c>
      <c r="J510">
        <v>2150</v>
      </c>
      <c r="K510">
        <v>645000</v>
      </c>
      <c r="L510">
        <v>0</v>
      </c>
      <c r="M510">
        <v>645000</v>
      </c>
      <c r="N510" t="s">
        <v>69</v>
      </c>
      <c r="O510" t="s">
        <v>21</v>
      </c>
    </row>
    <row r="511" spans="1:15" x14ac:dyDescent="0.3">
      <c r="A511" t="str">
        <f t="shared" si="7"/>
        <v>STCG003562-R001-NI</v>
      </c>
      <c r="B511" t="s">
        <v>14</v>
      </c>
      <c r="C511" t="s">
        <v>528</v>
      </c>
      <c r="D511" t="s">
        <v>67</v>
      </c>
      <c r="E511" t="s">
        <v>529</v>
      </c>
      <c r="F511" t="s">
        <v>18</v>
      </c>
      <c r="G511" t="s">
        <v>49</v>
      </c>
      <c r="H511">
        <v>0</v>
      </c>
      <c r="I511">
        <v>300</v>
      </c>
      <c r="J511">
        <v>1350</v>
      </c>
      <c r="K511">
        <v>405000</v>
      </c>
      <c r="L511">
        <v>0</v>
      </c>
      <c r="M511">
        <v>405000</v>
      </c>
      <c r="N511" t="s">
        <v>69</v>
      </c>
      <c r="O511" t="s">
        <v>21</v>
      </c>
    </row>
    <row r="512" spans="1:15" x14ac:dyDescent="0.3">
      <c r="A512" t="str">
        <f t="shared" si="7"/>
        <v>STEGHG0000002-CR</v>
      </c>
      <c r="B512" t="s">
        <v>14</v>
      </c>
      <c r="C512" t="s">
        <v>530</v>
      </c>
      <c r="D512" t="s">
        <v>81</v>
      </c>
      <c r="E512" t="s">
        <v>531</v>
      </c>
      <c r="F512" t="s">
        <v>18</v>
      </c>
      <c r="G512" t="s">
        <v>29</v>
      </c>
      <c r="H512">
        <v>0</v>
      </c>
      <c r="I512">
        <v>4</v>
      </c>
      <c r="J512">
        <v>4700</v>
      </c>
      <c r="K512">
        <v>18800</v>
      </c>
      <c r="L512">
        <v>0</v>
      </c>
      <c r="M512">
        <v>18800</v>
      </c>
      <c r="N512" t="s">
        <v>532</v>
      </c>
      <c r="O512" t="s">
        <v>21</v>
      </c>
    </row>
    <row r="513" spans="1:15" x14ac:dyDescent="0.3">
      <c r="A513" t="str">
        <f t="shared" si="7"/>
        <v>STEGHG0000002-CR</v>
      </c>
      <c r="B513" t="s">
        <v>14</v>
      </c>
      <c r="C513" t="s">
        <v>530</v>
      </c>
      <c r="D513" t="s">
        <v>81</v>
      </c>
      <c r="E513" t="s">
        <v>531</v>
      </c>
      <c r="F513" t="s">
        <v>18</v>
      </c>
      <c r="G513" t="s">
        <v>29</v>
      </c>
      <c r="H513">
        <v>0</v>
      </c>
      <c r="I513">
        <v>16</v>
      </c>
      <c r="J513">
        <v>4610</v>
      </c>
      <c r="K513">
        <v>73760</v>
      </c>
      <c r="L513">
        <v>0</v>
      </c>
      <c r="M513">
        <v>73760</v>
      </c>
      <c r="N513" t="s">
        <v>532</v>
      </c>
      <c r="O513" t="s">
        <v>21</v>
      </c>
    </row>
    <row r="514" spans="1:15" x14ac:dyDescent="0.3">
      <c r="A514" t="str">
        <f t="shared" si="7"/>
        <v>STEGHG0000003-XX</v>
      </c>
      <c r="B514" t="s">
        <v>14</v>
      </c>
      <c r="C514" t="s">
        <v>533</v>
      </c>
      <c r="D514" t="s">
        <v>16</v>
      </c>
      <c r="E514" t="s">
        <v>1779</v>
      </c>
      <c r="F514" t="s">
        <v>18</v>
      </c>
      <c r="G514" t="s">
        <v>49</v>
      </c>
      <c r="H514">
        <v>0</v>
      </c>
      <c r="I514">
        <v>7200</v>
      </c>
      <c r="J514">
        <v>540</v>
      </c>
      <c r="K514">
        <v>3888000</v>
      </c>
      <c r="L514">
        <v>0</v>
      </c>
      <c r="M514">
        <v>3888000</v>
      </c>
      <c r="N514" t="s">
        <v>534</v>
      </c>
      <c r="O514" t="s">
        <v>21</v>
      </c>
    </row>
    <row r="515" spans="1:15" x14ac:dyDescent="0.3">
      <c r="A515" t="str">
        <f t="shared" ref="A515:A578" si="8">C515&amp;"-"&amp;D515</f>
        <v>STEGHG0000003-XX</v>
      </c>
      <c r="B515" t="s">
        <v>14</v>
      </c>
      <c r="C515" t="s">
        <v>533</v>
      </c>
      <c r="D515" t="s">
        <v>16</v>
      </c>
      <c r="E515" t="s">
        <v>1779</v>
      </c>
      <c r="F515" t="s">
        <v>18</v>
      </c>
      <c r="G515" t="s">
        <v>120</v>
      </c>
      <c r="H515">
        <v>0</v>
      </c>
      <c r="I515">
        <v>1200</v>
      </c>
      <c r="J515">
        <v>550</v>
      </c>
      <c r="K515">
        <v>660000</v>
      </c>
      <c r="L515">
        <v>0</v>
      </c>
      <c r="M515">
        <v>660000</v>
      </c>
      <c r="N515" t="s">
        <v>534</v>
      </c>
      <c r="O515" t="s">
        <v>21</v>
      </c>
    </row>
    <row r="516" spans="1:15" x14ac:dyDescent="0.3">
      <c r="A516" t="str">
        <f t="shared" si="8"/>
        <v>STEGHG0000003-XX</v>
      </c>
      <c r="B516" t="s">
        <v>14</v>
      </c>
      <c r="C516" t="s">
        <v>533</v>
      </c>
      <c r="D516" t="s">
        <v>16</v>
      </c>
      <c r="E516" t="s">
        <v>1779</v>
      </c>
      <c r="F516" t="s">
        <v>18</v>
      </c>
      <c r="G516" t="s">
        <v>49</v>
      </c>
      <c r="H516">
        <v>0</v>
      </c>
      <c r="I516">
        <v>0</v>
      </c>
      <c r="J516">
        <v>550</v>
      </c>
      <c r="K516">
        <v>0</v>
      </c>
      <c r="L516">
        <v>0</v>
      </c>
      <c r="M516">
        <v>0</v>
      </c>
      <c r="N516" t="s">
        <v>534</v>
      </c>
      <c r="O516" t="s">
        <v>21</v>
      </c>
    </row>
    <row r="517" spans="1:15" x14ac:dyDescent="0.3">
      <c r="A517" t="str">
        <f t="shared" si="8"/>
        <v>STEGRL0000001-BK</v>
      </c>
      <c r="B517" t="s">
        <v>14</v>
      </c>
      <c r="C517" t="s">
        <v>535</v>
      </c>
      <c r="D517" t="s">
        <v>31</v>
      </c>
      <c r="E517" t="s">
        <v>536</v>
      </c>
      <c r="F517" t="s">
        <v>18</v>
      </c>
      <c r="G517" t="s">
        <v>120</v>
      </c>
      <c r="H517">
        <v>0</v>
      </c>
      <c r="I517">
        <v>500</v>
      </c>
      <c r="J517">
        <v>700</v>
      </c>
      <c r="K517">
        <v>350000</v>
      </c>
      <c r="L517">
        <v>0</v>
      </c>
      <c r="M517">
        <v>350000</v>
      </c>
      <c r="O517" t="s">
        <v>21</v>
      </c>
    </row>
    <row r="518" spans="1:15" x14ac:dyDescent="0.3">
      <c r="A518" t="str">
        <f t="shared" si="8"/>
        <v>STEGRL0000001-BK</v>
      </c>
      <c r="B518" t="s">
        <v>14</v>
      </c>
      <c r="C518" t="s">
        <v>535</v>
      </c>
      <c r="D518" t="s">
        <v>31</v>
      </c>
      <c r="E518" t="s">
        <v>536</v>
      </c>
      <c r="F518" t="s">
        <v>18</v>
      </c>
      <c r="G518" t="s">
        <v>537</v>
      </c>
      <c r="H518">
        <v>0</v>
      </c>
      <c r="I518">
        <v>3465</v>
      </c>
      <c r="J518">
        <v>560</v>
      </c>
      <c r="K518">
        <v>1940400</v>
      </c>
      <c r="L518">
        <v>0</v>
      </c>
      <c r="M518">
        <v>1940400</v>
      </c>
      <c r="O518" t="s">
        <v>21</v>
      </c>
    </row>
    <row r="519" spans="1:15" x14ac:dyDescent="0.3">
      <c r="A519" t="str">
        <f t="shared" si="8"/>
        <v>STEGRL0000014-BK</v>
      </c>
      <c r="B519" t="s">
        <v>14</v>
      </c>
      <c r="C519" t="s">
        <v>538</v>
      </c>
      <c r="D519" t="s">
        <v>31</v>
      </c>
      <c r="E519" t="s">
        <v>539</v>
      </c>
      <c r="F519" t="s">
        <v>18</v>
      </c>
      <c r="G519" t="s">
        <v>29</v>
      </c>
      <c r="H519">
        <v>0</v>
      </c>
      <c r="I519">
        <v>14</v>
      </c>
      <c r="J519">
        <v>1620</v>
      </c>
      <c r="K519">
        <v>22680</v>
      </c>
      <c r="L519">
        <v>0</v>
      </c>
      <c r="M519">
        <v>22680</v>
      </c>
      <c r="N519" t="s">
        <v>101</v>
      </c>
      <c r="O519" t="s">
        <v>21</v>
      </c>
    </row>
    <row r="520" spans="1:15" x14ac:dyDescent="0.3">
      <c r="A520" t="str">
        <f t="shared" si="8"/>
        <v>STEGRL0000014-BK</v>
      </c>
      <c r="B520" t="s">
        <v>14</v>
      </c>
      <c r="C520" t="s">
        <v>538</v>
      </c>
      <c r="D520" t="s">
        <v>31</v>
      </c>
      <c r="E520" t="s">
        <v>539</v>
      </c>
      <c r="F520" t="s">
        <v>18</v>
      </c>
      <c r="G520" t="s">
        <v>23</v>
      </c>
      <c r="H520">
        <v>0</v>
      </c>
      <c r="I520">
        <v>550</v>
      </c>
      <c r="J520">
        <v>1620</v>
      </c>
      <c r="K520">
        <v>891000</v>
      </c>
      <c r="L520">
        <v>0</v>
      </c>
      <c r="M520">
        <v>891000</v>
      </c>
      <c r="N520" t="s">
        <v>101</v>
      </c>
      <c r="O520" t="s">
        <v>21</v>
      </c>
    </row>
    <row r="521" spans="1:15" x14ac:dyDescent="0.3">
      <c r="A521" t="str">
        <f t="shared" si="8"/>
        <v>STEGRL0000014-BK</v>
      </c>
      <c r="B521" t="s">
        <v>14</v>
      </c>
      <c r="C521" t="s">
        <v>538</v>
      </c>
      <c r="D521" t="s">
        <v>31</v>
      </c>
      <c r="E521" t="s">
        <v>539</v>
      </c>
      <c r="F521" t="s">
        <v>18</v>
      </c>
      <c r="G521" t="s">
        <v>22</v>
      </c>
      <c r="H521">
        <v>0</v>
      </c>
      <c r="I521">
        <v>16</v>
      </c>
      <c r="J521">
        <v>1620</v>
      </c>
      <c r="K521">
        <v>25920</v>
      </c>
      <c r="L521">
        <v>0</v>
      </c>
      <c r="M521">
        <v>25920</v>
      </c>
      <c r="N521" t="s">
        <v>101</v>
      </c>
      <c r="O521" t="s">
        <v>21</v>
      </c>
    </row>
    <row r="522" spans="1:15" x14ac:dyDescent="0.3">
      <c r="A522" t="str">
        <f t="shared" si="8"/>
        <v>STEGRL0000015-BK</v>
      </c>
      <c r="B522" t="s">
        <v>14</v>
      </c>
      <c r="C522" t="s">
        <v>540</v>
      </c>
      <c r="D522" t="s">
        <v>31</v>
      </c>
      <c r="E522" t="s">
        <v>541</v>
      </c>
      <c r="F522" t="s">
        <v>18</v>
      </c>
      <c r="G522" t="s">
        <v>542</v>
      </c>
      <c r="H522">
        <v>0</v>
      </c>
      <c r="I522">
        <v>20000</v>
      </c>
      <c r="J522">
        <v>473</v>
      </c>
      <c r="K522">
        <v>9460000</v>
      </c>
      <c r="L522">
        <v>0</v>
      </c>
      <c r="M522">
        <v>9460000</v>
      </c>
      <c r="N522" t="s">
        <v>543</v>
      </c>
      <c r="O522" t="s">
        <v>21</v>
      </c>
    </row>
    <row r="523" spans="1:15" x14ac:dyDescent="0.3">
      <c r="A523" t="str">
        <f t="shared" si="8"/>
        <v>STSGWW0000007-XX</v>
      </c>
      <c r="B523" t="s">
        <v>14</v>
      </c>
      <c r="C523" t="s">
        <v>544</v>
      </c>
      <c r="D523" t="s">
        <v>16</v>
      </c>
      <c r="E523" t="s">
        <v>1780</v>
      </c>
      <c r="F523" t="s">
        <v>18</v>
      </c>
      <c r="G523" t="s">
        <v>120</v>
      </c>
      <c r="H523">
        <v>0</v>
      </c>
      <c r="I523">
        <v>300</v>
      </c>
      <c r="J523">
        <v>1590</v>
      </c>
      <c r="K523">
        <v>477000</v>
      </c>
      <c r="L523">
        <v>0</v>
      </c>
      <c r="M523">
        <v>477000</v>
      </c>
      <c r="N523" t="s">
        <v>545</v>
      </c>
      <c r="O523" t="s">
        <v>21</v>
      </c>
    </row>
    <row r="524" spans="1:15" x14ac:dyDescent="0.3">
      <c r="A524" t="str">
        <f t="shared" si="8"/>
        <v>STSGWW0000007-XX</v>
      </c>
      <c r="B524" t="s">
        <v>14</v>
      </c>
      <c r="C524" t="s">
        <v>544</v>
      </c>
      <c r="D524" t="s">
        <v>16</v>
      </c>
      <c r="E524" t="s">
        <v>1780</v>
      </c>
      <c r="F524" t="s">
        <v>18</v>
      </c>
      <c r="G524" t="s">
        <v>111</v>
      </c>
      <c r="H524">
        <v>0</v>
      </c>
      <c r="I524">
        <v>300</v>
      </c>
      <c r="J524">
        <v>1560</v>
      </c>
      <c r="K524">
        <v>468000</v>
      </c>
      <c r="L524">
        <v>0</v>
      </c>
      <c r="M524">
        <v>468000</v>
      </c>
      <c r="N524" t="s">
        <v>545</v>
      </c>
      <c r="O524" t="s">
        <v>21</v>
      </c>
    </row>
    <row r="525" spans="1:15" x14ac:dyDescent="0.3">
      <c r="A525" t="str">
        <f t="shared" si="8"/>
        <v>STSGWW0000007-XX</v>
      </c>
      <c r="B525" t="s">
        <v>14</v>
      </c>
      <c r="C525" t="s">
        <v>544</v>
      </c>
      <c r="D525" t="s">
        <v>16</v>
      </c>
      <c r="E525" t="s">
        <v>1780</v>
      </c>
      <c r="F525" t="s">
        <v>18</v>
      </c>
      <c r="G525" t="s">
        <v>49</v>
      </c>
      <c r="H525">
        <v>0</v>
      </c>
      <c r="I525">
        <v>7800</v>
      </c>
      <c r="J525">
        <v>1560</v>
      </c>
      <c r="K525">
        <v>12168000</v>
      </c>
      <c r="L525">
        <v>0</v>
      </c>
      <c r="M525">
        <v>12168000</v>
      </c>
      <c r="N525" t="s">
        <v>545</v>
      </c>
      <c r="O525" t="s">
        <v>21</v>
      </c>
    </row>
    <row r="526" spans="1:15" x14ac:dyDescent="0.3">
      <c r="A526" t="str">
        <f t="shared" si="8"/>
        <v>STSGWW0000007-XX</v>
      </c>
      <c r="B526" t="s">
        <v>14</v>
      </c>
      <c r="C526" t="s">
        <v>544</v>
      </c>
      <c r="D526" t="s">
        <v>16</v>
      </c>
      <c r="E526" t="s">
        <v>1780</v>
      </c>
      <c r="F526" t="s">
        <v>18</v>
      </c>
      <c r="G526" t="s">
        <v>111</v>
      </c>
      <c r="H526">
        <v>0</v>
      </c>
      <c r="I526">
        <v>0</v>
      </c>
      <c r="J526">
        <v>1590</v>
      </c>
      <c r="K526">
        <v>0</v>
      </c>
      <c r="L526">
        <v>0</v>
      </c>
      <c r="M526">
        <v>0</v>
      </c>
      <c r="N526" t="s">
        <v>545</v>
      </c>
      <c r="O526" t="s">
        <v>21</v>
      </c>
    </row>
    <row r="527" spans="1:15" x14ac:dyDescent="0.3">
      <c r="A527" t="str">
        <f t="shared" si="8"/>
        <v>STSGWW0000007-XX</v>
      </c>
      <c r="B527" t="s">
        <v>14</v>
      </c>
      <c r="C527" t="s">
        <v>544</v>
      </c>
      <c r="D527" t="s">
        <v>16</v>
      </c>
      <c r="E527" t="s">
        <v>1780</v>
      </c>
      <c r="F527" t="s">
        <v>18</v>
      </c>
      <c r="G527" t="s">
        <v>49</v>
      </c>
      <c r="H527">
        <v>0</v>
      </c>
      <c r="I527">
        <v>0</v>
      </c>
      <c r="J527">
        <v>1590</v>
      </c>
      <c r="K527">
        <v>0</v>
      </c>
      <c r="L527">
        <v>0</v>
      </c>
      <c r="M527">
        <v>0</v>
      </c>
      <c r="N527" t="s">
        <v>545</v>
      </c>
      <c r="O527" t="s">
        <v>21</v>
      </c>
    </row>
    <row r="528" spans="1:15" x14ac:dyDescent="0.3">
      <c r="A528" t="str">
        <f t="shared" si="8"/>
        <v>STSGWW0000007-XX</v>
      </c>
      <c r="B528" t="s">
        <v>14</v>
      </c>
      <c r="C528" t="s">
        <v>544</v>
      </c>
      <c r="D528" t="s">
        <v>16</v>
      </c>
      <c r="E528" t="s">
        <v>1780</v>
      </c>
      <c r="F528" t="s">
        <v>18</v>
      </c>
      <c r="G528" t="s">
        <v>174</v>
      </c>
      <c r="H528">
        <v>0</v>
      </c>
      <c r="I528">
        <v>0</v>
      </c>
      <c r="J528">
        <v>1590</v>
      </c>
      <c r="K528">
        <v>0</v>
      </c>
      <c r="L528">
        <v>0</v>
      </c>
      <c r="M528">
        <v>0</v>
      </c>
      <c r="N528" t="s">
        <v>545</v>
      </c>
      <c r="O528" t="s">
        <v>21</v>
      </c>
    </row>
    <row r="529" spans="1:15" x14ac:dyDescent="0.3">
      <c r="A529" t="str">
        <f t="shared" si="8"/>
        <v>STSGWW0000007-XX</v>
      </c>
      <c r="B529" t="s">
        <v>14</v>
      </c>
      <c r="C529" t="s">
        <v>544</v>
      </c>
      <c r="D529" t="s">
        <v>16</v>
      </c>
      <c r="E529" t="s">
        <v>1780</v>
      </c>
      <c r="F529" t="s">
        <v>18</v>
      </c>
      <c r="G529" t="s">
        <v>174</v>
      </c>
      <c r="H529">
        <v>0</v>
      </c>
      <c r="I529">
        <v>900</v>
      </c>
      <c r="J529">
        <v>1560</v>
      </c>
      <c r="K529">
        <v>1404000</v>
      </c>
      <c r="L529">
        <v>0</v>
      </c>
      <c r="M529">
        <v>1404000</v>
      </c>
      <c r="N529" t="s">
        <v>545</v>
      </c>
      <c r="O529" t="s">
        <v>21</v>
      </c>
    </row>
    <row r="530" spans="1:15" x14ac:dyDescent="0.3">
      <c r="A530" t="str">
        <f t="shared" si="8"/>
        <v>STSGWW0000008-XX</v>
      </c>
      <c r="B530" t="s">
        <v>14</v>
      </c>
      <c r="C530" t="s">
        <v>546</v>
      </c>
      <c r="D530" t="s">
        <v>16</v>
      </c>
      <c r="E530" t="s">
        <v>1781</v>
      </c>
      <c r="F530" t="s">
        <v>18</v>
      </c>
      <c r="G530" t="s">
        <v>35</v>
      </c>
      <c r="H530">
        <v>0</v>
      </c>
      <c r="I530">
        <v>1800</v>
      </c>
      <c r="J530">
        <v>1990</v>
      </c>
      <c r="K530">
        <v>3582000</v>
      </c>
      <c r="L530">
        <v>0</v>
      </c>
      <c r="M530">
        <v>3582000</v>
      </c>
      <c r="N530" t="s">
        <v>547</v>
      </c>
      <c r="O530" t="s">
        <v>21</v>
      </c>
    </row>
    <row r="531" spans="1:15" x14ac:dyDescent="0.3">
      <c r="A531" t="str">
        <f t="shared" si="8"/>
        <v>STSGWW0000008-XX</v>
      </c>
      <c r="B531" t="s">
        <v>14</v>
      </c>
      <c r="C531" t="s">
        <v>546</v>
      </c>
      <c r="D531" t="s">
        <v>16</v>
      </c>
      <c r="E531" t="s">
        <v>1781</v>
      </c>
      <c r="F531" t="s">
        <v>18</v>
      </c>
      <c r="G531" t="s">
        <v>120</v>
      </c>
      <c r="H531">
        <v>0</v>
      </c>
      <c r="I531">
        <v>300</v>
      </c>
      <c r="J531">
        <v>2040</v>
      </c>
      <c r="K531">
        <v>612000</v>
      </c>
      <c r="L531">
        <v>0</v>
      </c>
      <c r="M531">
        <v>612000</v>
      </c>
      <c r="N531" t="s">
        <v>547</v>
      </c>
      <c r="O531" t="s">
        <v>21</v>
      </c>
    </row>
    <row r="532" spans="1:15" x14ac:dyDescent="0.3">
      <c r="A532" t="str">
        <f t="shared" si="8"/>
        <v>STSGWW0000008-XX</v>
      </c>
      <c r="B532" t="s">
        <v>14</v>
      </c>
      <c r="C532" t="s">
        <v>546</v>
      </c>
      <c r="D532" t="s">
        <v>16</v>
      </c>
      <c r="E532" t="s">
        <v>1781</v>
      </c>
      <c r="F532" t="s">
        <v>18</v>
      </c>
      <c r="G532" t="s">
        <v>35</v>
      </c>
      <c r="H532">
        <v>0</v>
      </c>
      <c r="I532">
        <v>0</v>
      </c>
      <c r="J532">
        <v>2040</v>
      </c>
      <c r="K532">
        <v>0</v>
      </c>
      <c r="L532">
        <v>0</v>
      </c>
      <c r="M532">
        <v>0</v>
      </c>
      <c r="N532" t="s">
        <v>547</v>
      </c>
      <c r="O532" t="s">
        <v>21</v>
      </c>
    </row>
    <row r="533" spans="1:15" x14ac:dyDescent="0.3">
      <c r="A533" t="str">
        <f t="shared" si="8"/>
        <v>STSW000175-R000-TS</v>
      </c>
      <c r="B533" t="s">
        <v>14</v>
      </c>
      <c r="C533" t="s">
        <v>548</v>
      </c>
      <c r="D533" t="s">
        <v>168</v>
      </c>
      <c r="E533" t="s">
        <v>549</v>
      </c>
      <c r="F533" t="s">
        <v>18</v>
      </c>
      <c r="G533" t="s">
        <v>22</v>
      </c>
      <c r="H533">
        <v>0</v>
      </c>
      <c r="I533">
        <v>4</v>
      </c>
      <c r="J533">
        <v>2480</v>
      </c>
      <c r="K533">
        <v>9920</v>
      </c>
      <c r="L533">
        <v>0</v>
      </c>
      <c r="M533">
        <v>9920</v>
      </c>
      <c r="N533" t="s">
        <v>550</v>
      </c>
      <c r="O533" t="s">
        <v>21</v>
      </c>
    </row>
    <row r="534" spans="1:15" x14ac:dyDescent="0.3">
      <c r="A534" t="str">
        <f t="shared" si="8"/>
        <v>STSW000347-R001-BK</v>
      </c>
      <c r="B534" t="s">
        <v>14</v>
      </c>
      <c r="C534" t="s">
        <v>551</v>
      </c>
      <c r="D534" t="s">
        <v>31</v>
      </c>
      <c r="E534" t="s">
        <v>552</v>
      </c>
      <c r="F534" t="s">
        <v>18</v>
      </c>
      <c r="G534" t="s">
        <v>29</v>
      </c>
      <c r="H534">
        <v>0</v>
      </c>
      <c r="I534">
        <v>6</v>
      </c>
      <c r="J534">
        <v>1600</v>
      </c>
      <c r="K534">
        <v>9600</v>
      </c>
      <c r="L534">
        <v>0</v>
      </c>
      <c r="M534">
        <v>9600</v>
      </c>
      <c r="N534" t="s">
        <v>553</v>
      </c>
      <c r="O534" t="s">
        <v>21</v>
      </c>
    </row>
    <row r="535" spans="1:15" x14ac:dyDescent="0.3">
      <c r="A535" t="str">
        <f t="shared" si="8"/>
        <v>W21-1D-167-CR</v>
      </c>
      <c r="B535" t="s">
        <v>14</v>
      </c>
      <c r="C535" t="s">
        <v>1782</v>
      </c>
      <c r="D535" t="s">
        <v>81</v>
      </c>
      <c r="E535" t="s">
        <v>1783</v>
      </c>
      <c r="F535" t="s">
        <v>18</v>
      </c>
      <c r="G535" t="s">
        <v>23</v>
      </c>
      <c r="H535">
        <v>0</v>
      </c>
      <c r="I535">
        <v>90</v>
      </c>
      <c r="J535">
        <v>2570</v>
      </c>
      <c r="K535">
        <v>231300</v>
      </c>
      <c r="L535">
        <v>0</v>
      </c>
      <c r="M535">
        <v>231300</v>
      </c>
      <c r="N535" t="s">
        <v>1784</v>
      </c>
      <c r="O535" t="s">
        <v>21</v>
      </c>
    </row>
    <row r="536" spans="1:15" x14ac:dyDescent="0.3">
      <c r="A536" t="str">
        <f t="shared" si="8"/>
        <v>W21-1D-206-XX</v>
      </c>
      <c r="B536" t="s">
        <v>14</v>
      </c>
      <c r="C536" t="s">
        <v>1785</v>
      </c>
      <c r="D536" t="s">
        <v>16</v>
      </c>
      <c r="E536" t="s">
        <v>1786</v>
      </c>
      <c r="F536" t="s">
        <v>18</v>
      </c>
      <c r="G536" t="s">
        <v>22</v>
      </c>
      <c r="H536">
        <v>0</v>
      </c>
      <c r="I536">
        <v>25</v>
      </c>
      <c r="J536">
        <v>430</v>
      </c>
      <c r="K536">
        <v>10750</v>
      </c>
      <c r="L536">
        <v>0</v>
      </c>
      <c r="M536">
        <v>10750</v>
      </c>
      <c r="O536" t="s">
        <v>21</v>
      </c>
    </row>
    <row r="537" spans="1:15" x14ac:dyDescent="0.3">
      <c r="A537" t="str">
        <f t="shared" si="8"/>
        <v>W21-1D-243-DG</v>
      </c>
      <c r="B537" t="s">
        <v>14</v>
      </c>
      <c r="C537" t="s">
        <v>1787</v>
      </c>
      <c r="D537" t="s">
        <v>1213</v>
      </c>
      <c r="E537" t="s">
        <v>1788</v>
      </c>
      <c r="F537" t="s">
        <v>18</v>
      </c>
      <c r="G537" t="s">
        <v>22</v>
      </c>
      <c r="H537">
        <v>0</v>
      </c>
      <c r="I537">
        <v>1</v>
      </c>
      <c r="J537">
        <v>1450</v>
      </c>
      <c r="K537">
        <v>1450</v>
      </c>
      <c r="L537">
        <v>0</v>
      </c>
      <c r="M537">
        <v>1450</v>
      </c>
      <c r="N537" t="s">
        <v>584</v>
      </c>
      <c r="O537" t="s">
        <v>21</v>
      </c>
    </row>
    <row r="538" spans="1:15" x14ac:dyDescent="0.3">
      <c r="A538" t="str">
        <f t="shared" si="8"/>
        <v>W21-1D-788-BLK</v>
      </c>
      <c r="B538" t="s">
        <v>14</v>
      </c>
      <c r="C538" t="s">
        <v>554</v>
      </c>
      <c r="D538" t="s">
        <v>555</v>
      </c>
      <c r="E538" t="s">
        <v>556</v>
      </c>
      <c r="F538" t="s">
        <v>18</v>
      </c>
      <c r="G538" t="s">
        <v>22</v>
      </c>
      <c r="H538">
        <v>0</v>
      </c>
      <c r="I538">
        <v>46</v>
      </c>
      <c r="J538">
        <v>2170</v>
      </c>
      <c r="K538">
        <v>99820</v>
      </c>
      <c r="L538">
        <v>0</v>
      </c>
      <c r="M538">
        <v>99820</v>
      </c>
      <c r="N538" t="s">
        <v>557</v>
      </c>
      <c r="O538" t="s">
        <v>21</v>
      </c>
    </row>
    <row r="539" spans="1:15" x14ac:dyDescent="0.3">
      <c r="A539" t="str">
        <f t="shared" si="8"/>
        <v>W21-1D-828-NI</v>
      </c>
      <c r="B539" t="s">
        <v>14</v>
      </c>
      <c r="C539" t="s">
        <v>1789</v>
      </c>
      <c r="D539" t="s">
        <v>67</v>
      </c>
      <c r="E539" t="s">
        <v>1790</v>
      </c>
      <c r="F539" t="s">
        <v>18</v>
      </c>
      <c r="G539" t="s">
        <v>29</v>
      </c>
      <c r="H539">
        <v>0</v>
      </c>
      <c r="I539">
        <v>80</v>
      </c>
      <c r="J539">
        <v>83</v>
      </c>
      <c r="K539">
        <v>6640</v>
      </c>
      <c r="L539">
        <v>0</v>
      </c>
      <c r="M539">
        <v>6640</v>
      </c>
      <c r="N539" t="s">
        <v>1791</v>
      </c>
      <c r="O539" t="s">
        <v>21</v>
      </c>
    </row>
    <row r="540" spans="1:15" x14ac:dyDescent="0.3">
      <c r="A540" t="str">
        <f t="shared" si="8"/>
        <v>W21-1H-634A-TS</v>
      </c>
      <c r="B540" t="s">
        <v>14</v>
      </c>
      <c r="C540" t="s">
        <v>558</v>
      </c>
      <c r="D540" t="s">
        <v>168</v>
      </c>
      <c r="E540" t="s">
        <v>559</v>
      </c>
      <c r="F540" t="s">
        <v>18</v>
      </c>
      <c r="G540" t="s">
        <v>35</v>
      </c>
      <c r="H540">
        <v>0</v>
      </c>
      <c r="I540">
        <v>500</v>
      </c>
      <c r="J540">
        <v>470</v>
      </c>
      <c r="K540">
        <v>235000</v>
      </c>
      <c r="L540">
        <v>0</v>
      </c>
      <c r="M540">
        <v>235000</v>
      </c>
      <c r="N540" t="s">
        <v>560</v>
      </c>
      <c r="O540" t="s">
        <v>21</v>
      </c>
    </row>
    <row r="541" spans="1:15" x14ac:dyDescent="0.3">
      <c r="A541" t="str">
        <f t="shared" si="8"/>
        <v>W21-1H-661-IIV</v>
      </c>
      <c r="B541" t="s">
        <v>14</v>
      </c>
      <c r="C541" t="s">
        <v>561</v>
      </c>
      <c r="D541" t="s">
        <v>203</v>
      </c>
      <c r="E541" t="s">
        <v>562</v>
      </c>
      <c r="F541" t="s">
        <v>18</v>
      </c>
      <c r="G541" t="s">
        <v>22</v>
      </c>
      <c r="H541">
        <v>0</v>
      </c>
      <c r="I541">
        <v>1</v>
      </c>
      <c r="J541">
        <v>170370</v>
      </c>
      <c r="K541">
        <v>170370</v>
      </c>
      <c r="L541">
        <v>0</v>
      </c>
      <c r="M541">
        <v>170370</v>
      </c>
      <c r="N541" t="s">
        <v>563</v>
      </c>
      <c r="O541" t="s">
        <v>21</v>
      </c>
    </row>
    <row r="542" spans="1:15" x14ac:dyDescent="0.3">
      <c r="A542" t="str">
        <f t="shared" si="8"/>
        <v>W21-1I-006-BLK</v>
      </c>
      <c r="B542" t="s">
        <v>14</v>
      </c>
      <c r="C542" t="s">
        <v>1792</v>
      </c>
      <c r="D542" t="s">
        <v>555</v>
      </c>
      <c r="E542" t="s">
        <v>1793</v>
      </c>
      <c r="F542" t="s">
        <v>18</v>
      </c>
      <c r="G542" t="s">
        <v>29</v>
      </c>
      <c r="H542">
        <v>0</v>
      </c>
      <c r="I542">
        <v>16</v>
      </c>
      <c r="J542">
        <v>490</v>
      </c>
      <c r="K542">
        <v>7840</v>
      </c>
      <c r="L542">
        <v>0</v>
      </c>
      <c r="M542">
        <v>7840</v>
      </c>
      <c r="N542" t="s">
        <v>1794</v>
      </c>
      <c r="O542" t="s">
        <v>21</v>
      </c>
    </row>
    <row r="543" spans="1:15" x14ac:dyDescent="0.3">
      <c r="A543" t="str">
        <f t="shared" si="8"/>
        <v>W21-1P-941-TS</v>
      </c>
      <c r="B543" t="s">
        <v>14</v>
      </c>
      <c r="C543" t="s">
        <v>1795</v>
      </c>
      <c r="D543" t="s">
        <v>168</v>
      </c>
      <c r="E543" t="s">
        <v>1796</v>
      </c>
      <c r="F543" t="s">
        <v>18</v>
      </c>
      <c r="G543" t="s">
        <v>29</v>
      </c>
      <c r="H543">
        <v>0</v>
      </c>
      <c r="I543">
        <v>9</v>
      </c>
      <c r="J543">
        <v>4840</v>
      </c>
      <c r="K543">
        <v>43560</v>
      </c>
      <c r="L543">
        <v>0</v>
      </c>
      <c r="M543">
        <v>43560</v>
      </c>
      <c r="N543" t="s">
        <v>1797</v>
      </c>
      <c r="O543" t="s">
        <v>21</v>
      </c>
    </row>
    <row r="544" spans="1:15" x14ac:dyDescent="0.3">
      <c r="A544" t="str">
        <f t="shared" si="8"/>
        <v>W21-1R-00002-BK</v>
      </c>
      <c r="B544" t="s">
        <v>14</v>
      </c>
      <c r="C544" t="s">
        <v>564</v>
      </c>
      <c r="D544" t="s">
        <v>31</v>
      </c>
      <c r="E544" t="s">
        <v>565</v>
      </c>
      <c r="F544" t="s">
        <v>18</v>
      </c>
      <c r="G544" t="s">
        <v>537</v>
      </c>
      <c r="H544">
        <v>0</v>
      </c>
      <c r="I544">
        <v>16600</v>
      </c>
      <c r="J544">
        <v>125</v>
      </c>
      <c r="K544">
        <v>2075000</v>
      </c>
      <c r="L544">
        <v>0</v>
      </c>
      <c r="M544">
        <v>2075000</v>
      </c>
      <c r="N544" t="s">
        <v>543</v>
      </c>
      <c r="O544" t="s">
        <v>21</v>
      </c>
    </row>
    <row r="545" spans="1:15" x14ac:dyDescent="0.3">
      <c r="A545" t="str">
        <f t="shared" si="8"/>
        <v>W21-1R-115-MM</v>
      </c>
      <c r="B545" t="s">
        <v>14</v>
      </c>
      <c r="C545" t="s">
        <v>566</v>
      </c>
      <c r="D545" t="s">
        <v>57</v>
      </c>
      <c r="E545" t="s">
        <v>567</v>
      </c>
      <c r="F545" t="s">
        <v>18</v>
      </c>
      <c r="G545" t="s">
        <v>542</v>
      </c>
      <c r="H545">
        <v>0</v>
      </c>
      <c r="I545">
        <v>16000</v>
      </c>
      <c r="J545">
        <v>1065</v>
      </c>
      <c r="K545">
        <v>17040000</v>
      </c>
      <c r="L545">
        <v>0</v>
      </c>
      <c r="M545">
        <v>17040000</v>
      </c>
      <c r="N545" t="s">
        <v>102</v>
      </c>
      <c r="O545" t="s">
        <v>21</v>
      </c>
    </row>
    <row r="546" spans="1:15" x14ac:dyDescent="0.3">
      <c r="A546" t="str">
        <f t="shared" si="8"/>
        <v>W21-1R-802A-CR</v>
      </c>
      <c r="B546" t="s">
        <v>14</v>
      </c>
      <c r="C546" t="s">
        <v>1798</v>
      </c>
      <c r="D546" t="s">
        <v>81</v>
      </c>
      <c r="E546" t="s">
        <v>1799</v>
      </c>
      <c r="F546" t="s">
        <v>18</v>
      </c>
      <c r="G546" t="s">
        <v>26</v>
      </c>
      <c r="H546">
        <v>0</v>
      </c>
      <c r="I546">
        <v>200</v>
      </c>
      <c r="J546">
        <v>920</v>
      </c>
      <c r="K546">
        <v>184000</v>
      </c>
      <c r="L546">
        <v>0</v>
      </c>
      <c r="M546">
        <v>184000</v>
      </c>
      <c r="N546" t="s">
        <v>1658</v>
      </c>
      <c r="O546" t="s">
        <v>21</v>
      </c>
    </row>
    <row r="547" spans="1:15" x14ac:dyDescent="0.3">
      <c r="A547" t="str">
        <f t="shared" si="8"/>
        <v>W21-1R-803A-CR</v>
      </c>
      <c r="B547" t="s">
        <v>14</v>
      </c>
      <c r="C547" t="s">
        <v>1800</v>
      </c>
      <c r="D547" t="s">
        <v>81</v>
      </c>
      <c r="E547" t="s">
        <v>1801</v>
      </c>
      <c r="F547" t="s">
        <v>18</v>
      </c>
      <c r="G547" t="s">
        <v>22</v>
      </c>
      <c r="H547">
        <v>0</v>
      </c>
      <c r="I547">
        <v>1</v>
      </c>
      <c r="J547">
        <v>1120</v>
      </c>
      <c r="K547">
        <v>1120</v>
      </c>
      <c r="L547">
        <v>0</v>
      </c>
      <c r="M547">
        <v>1120</v>
      </c>
      <c r="N547" t="s">
        <v>1661</v>
      </c>
      <c r="O547" t="s">
        <v>21</v>
      </c>
    </row>
    <row r="548" spans="1:15" x14ac:dyDescent="0.3">
      <c r="A548" t="str">
        <f t="shared" si="8"/>
        <v>W21-1R-803A-CR</v>
      </c>
      <c r="B548" t="s">
        <v>14</v>
      </c>
      <c r="C548" t="s">
        <v>1800</v>
      </c>
      <c r="D548" t="s">
        <v>81</v>
      </c>
      <c r="E548" t="s">
        <v>1801</v>
      </c>
      <c r="F548" t="s">
        <v>18</v>
      </c>
      <c r="G548" t="s">
        <v>35</v>
      </c>
      <c r="H548">
        <v>0</v>
      </c>
      <c r="I548">
        <v>8</v>
      </c>
      <c r="J548">
        <v>1040</v>
      </c>
      <c r="K548">
        <v>8320</v>
      </c>
      <c r="L548">
        <v>0</v>
      </c>
      <c r="M548">
        <v>8320</v>
      </c>
      <c r="N548" t="s">
        <v>1661</v>
      </c>
      <c r="O548" t="s">
        <v>21</v>
      </c>
    </row>
    <row r="549" spans="1:15" x14ac:dyDescent="0.3">
      <c r="A549" t="str">
        <f t="shared" si="8"/>
        <v>W21-1R-803A-CR</v>
      </c>
      <c r="B549" t="s">
        <v>14</v>
      </c>
      <c r="C549" t="s">
        <v>1800</v>
      </c>
      <c r="D549" t="s">
        <v>81</v>
      </c>
      <c r="E549" t="s">
        <v>1801</v>
      </c>
      <c r="F549" t="s">
        <v>18</v>
      </c>
      <c r="G549" t="s">
        <v>29</v>
      </c>
      <c r="H549">
        <v>0</v>
      </c>
      <c r="I549">
        <v>1</v>
      </c>
      <c r="J549">
        <v>1120</v>
      </c>
      <c r="K549">
        <v>1120</v>
      </c>
      <c r="L549">
        <v>0</v>
      </c>
      <c r="M549">
        <v>1120</v>
      </c>
      <c r="N549" t="s">
        <v>1661</v>
      </c>
      <c r="O549" t="s">
        <v>21</v>
      </c>
    </row>
    <row r="550" spans="1:15" x14ac:dyDescent="0.3">
      <c r="A550" t="str">
        <f t="shared" si="8"/>
        <v>W21-1R-805A-CR</v>
      </c>
      <c r="B550" t="s">
        <v>14</v>
      </c>
      <c r="C550" t="s">
        <v>568</v>
      </c>
      <c r="D550" t="s">
        <v>81</v>
      </c>
      <c r="E550" t="s">
        <v>569</v>
      </c>
      <c r="F550" t="s">
        <v>18</v>
      </c>
      <c r="G550" t="s">
        <v>22</v>
      </c>
      <c r="H550">
        <v>0</v>
      </c>
      <c r="I550">
        <v>3</v>
      </c>
      <c r="J550">
        <v>890</v>
      </c>
      <c r="K550">
        <v>2670</v>
      </c>
      <c r="L550">
        <v>0</v>
      </c>
      <c r="M550">
        <v>2670</v>
      </c>
      <c r="N550" t="s">
        <v>116</v>
      </c>
      <c r="O550" t="s">
        <v>21</v>
      </c>
    </row>
    <row r="551" spans="1:15" x14ac:dyDescent="0.3">
      <c r="A551" t="str">
        <f t="shared" si="8"/>
        <v>W21-1R-805A-CR</v>
      </c>
      <c r="B551" t="s">
        <v>14</v>
      </c>
      <c r="C551" t="s">
        <v>568</v>
      </c>
      <c r="D551" t="s">
        <v>81</v>
      </c>
      <c r="E551" t="s">
        <v>569</v>
      </c>
      <c r="F551" t="s">
        <v>18</v>
      </c>
      <c r="G551" t="s">
        <v>111</v>
      </c>
      <c r="H551">
        <v>0</v>
      </c>
      <c r="I551">
        <v>48</v>
      </c>
      <c r="J551">
        <v>890</v>
      </c>
      <c r="K551">
        <v>42720</v>
      </c>
      <c r="L551">
        <v>0</v>
      </c>
      <c r="M551">
        <v>42720</v>
      </c>
      <c r="N551" t="s">
        <v>116</v>
      </c>
      <c r="O551" t="s">
        <v>21</v>
      </c>
    </row>
    <row r="552" spans="1:15" x14ac:dyDescent="0.3">
      <c r="A552" t="str">
        <f t="shared" si="8"/>
        <v>W21-3E-3457A-BI</v>
      </c>
      <c r="B552" t="s">
        <v>14</v>
      </c>
      <c r="C552" t="s">
        <v>571</v>
      </c>
      <c r="D552" t="s">
        <v>244</v>
      </c>
      <c r="E552" t="s">
        <v>572</v>
      </c>
      <c r="F552" t="s">
        <v>18</v>
      </c>
      <c r="G552" t="s">
        <v>63</v>
      </c>
      <c r="H552">
        <v>0</v>
      </c>
      <c r="I552">
        <v>2000</v>
      </c>
      <c r="J552">
        <v>330</v>
      </c>
      <c r="K552">
        <v>660000</v>
      </c>
      <c r="L552">
        <v>0</v>
      </c>
      <c r="M552">
        <v>660000</v>
      </c>
      <c r="N552" t="s">
        <v>573</v>
      </c>
      <c r="O552" t="s">
        <v>21</v>
      </c>
    </row>
    <row r="553" spans="1:15" x14ac:dyDescent="0.3">
      <c r="A553" t="str">
        <f t="shared" si="8"/>
        <v>W21-3E-836A-MM</v>
      </c>
      <c r="B553" t="s">
        <v>14</v>
      </c>
      <c r="C553" t="s">
        <v>1802</v>
      </c>
      <c r="D553" t="s">
        <v>57</v>
      </c>
      <c r="E553" t="s">
        <v>1803</v>
      </c>
      <c r="F553" t="s">
        <v>18</v>
      </c>
      <c r="G553" t="s">
        <v>29</v>
      </c>
      <c r="H553">
        <v>0</v>
      </c>
      <c r="I553">
        <v>1</v>
      </c>
      <c r="J553">
        <v>2370</v>
      </c>
      <c r="K553">
        <v>2370</v>
      </c>
      <c r="L553">
        <v>0</v>
      </c>
      <c r="M553">
        <v>2370</v>
      </c>
      <c r="N553" t="s">
        <v>1804</v>
      </c>
      <c r="O553" t="s">
        <v>21</v>
      </c>
    </row>
    <row r="554" spans="1:15" x14ac:dyDescent="0.3">
      <c r="A554" t="str">
        <f t="shared" si="8"/>
        <v>W21-3I-823-WW</v>
      </c>
      <c r="B554" t="s">
        <v>14</v>
      </c>
      <c r="C554" t="s">
        <v>574</v>
      </c>
      <c r="D554" t="s">
        <v>28</v>
      </c>
      <c r="E554" t="s">
        <v>359</v>
      </c>
      <c r="F554" t="s">
        <v>18</v>
      </c>
      <c r="G554" t="s">
        <v>29</v>
      </c>
      <c r="H554">
        <v>0</v>
      </c>
      <c r="I554">
        <v>46</v>
      </c>
      <c r="J554">
        <v>920</v>
      </c>
      <c r="K554">
        <v>42320</v>
      </c>
      <c r="L554">
        <v>0</v>
      </c>
      <c r="M554">
        <v>42320</v>
      </c>
      <c r="N554" t="s">
        <v>575</v>
      </c>
      <c r="O554" t="s">
        <v>21</v>
      </c>
    </row>
    <row r="555" spans="1:15" x14ac:dyDescent="0.3">
      <c r="A555" t="str">
        <f t="shared" si="8"/>
        <v>W21-3I-823-WW</v>
      </c>
      <c r="B555" t="s">
        <v>14</v>
      </c>
      <c r="C555" t="s">
        <v>574</v>
      </c>
      <c r="D555" t="s">
        <v>28</v>
      </c>
      <c r="E555" t="s">
        <v>359</v>
      </c>
      <c r="F555" t="s">
        <v>18</v>
      </c>
      <c r="G555" t="s">
        <v>29</v>
      </c>
      <c r="H555">
        <v>0</v>
      </c>
      <c r="I555">
        <v>10</v>
      </c>
      <c r="J555">
        <v>930</v>
      </c>
      <c r="K555">
        <v>9300</v>
      </c>
      <c r="L555">
        <v>0</v>
      </c>
      <c r="M555">
        <v>9300</v>
      </c>
      <c r="N555" t="s">
        <v>575</v>
      </c>
      <c r="O555" t="s">
        <v>21</v>
      </c>
    </row>
    <row r="556" spans="1:15" x14ac:dyDescent="0.3">
      <c r="A556" t="str">
        <f t="shared" si="8"/>
        <v>W21-3I-849D-WW</v>
      </c>
      <c r="B556" t="s">
        <v>14</v>
      </c>
      <c r="C556" t="s">
        <v>1805</v>
      </c>
      <c r="D556" t="s">
        <v>28</v>
      </c>
      <c r="E556" t="s">
        <v>1806</v>
      </c>
      <c r="F556" t="s">
        <v>18</v>
      </c>
      <c r="G556" t="s">
        <v>29</v>
      </c>
      <c r="H556">
        <v>0</v>
      </c>
      <c r="I556">
        <v>40</v>
      </c>
      <c r="J556">
        <v>200</v>
      </c>
      <c r="K556">
        <v>8000</v>
      </c>
      <c r="L556">
        <v>0</v>
      </c>
      <c r="M556">
        <v>8000</v>
      </c>
      <c r="N556" t="s">
        <v>1807</v>
      </c>
      <c r="O556" t="s">
        <v>21</v>
      </c>
    </row>
    <row r="557" spans="1:15" x14ac:dyDescent="0.3">
      <c r="A557" t="str">
        <f t="shared" si="8"/>
        <v>W21-5M-807-XX</v>
      </c>
      <c r="B557" t="s">
        <v>14</v>
      </c>
      <c r="C557" t="s">
        <v>576</v>
      </c>
      <c r="D557" t="s">
        <v>16</v>
      </c>
      <c r="E557" t="s">
        <v>577</v>
      </c>
      <c r="F557" t="s">
        <v>18</v>
      </c>
      <c r="G557" t="s">
        <v>29</v>
      </c>
      <c r="H557">
        <v>0</v>
      </c>
      <c r="I557">
        <v>3</v>
      </c>
      <c r="J557">
        <v>1960</v>
      </c>
      <c r="K557">
        <v>5880</v>
      </c>
      <c r="L557">
        <v>0</v>
      </c>
      <c r="M557">
        <v>5880</v>
      </c>
      <c r="N557" t="s">
        <v>578</v>
      </c>
      <c r="O557" t="s">
        <v>21</v>
      </c>
    </row>
    <row r="558" spans="1:15" x14ac:dyDescent="0.3">
      <c r="A558" t="str">
        <f t="shared" si="8"/>
        <v>W21-5M-810-XX</v>
      </c>
      <c r="B558" t="s">
        <v>14</v>
      </c>
      <c r="C558" t="s">
        <v>579</v>
      </c>
      <c r="D558" t="s">
        <v>16</v>
      </c>
      <c r="E558" t="s">
        <v>580</v>
      </c>
      <c r="F558" t="s">
        <v>18</v>
      </c>
      <c r="G558" t="s">
        <v>35</v>
      </c>
      <c r="H558">
        <v>0</v>
      </c>
      <c r="I558">
        <v>300</v>
      </c>
      <c r="J558">
        <v>2650</v>
      </c>
      <c r="K558">
        <v>795000</v>
      </c>
      <c r="L558">
        <v>0</v>
      </c>
      <c r="M558">
        <v>795000</v>
      </c>
      <c r="N558" t="s">
        <v>581</v>
      </c>
      <c r="O558" t="s">
        <v>21</v>
      </c>
    </row>
    <row r="559" spans="1:15" x14ac:dyDescent="0.3">
      <c r="A559" t="str">
        <f t="shared" si="8"/>
        <v>W22-1D-830-BG</v>
      </c>
      <c r="B559" t="s">
        <v>14</v>
      </c>
      <c r="C559" t="s">
        <v>582</v>
      </c>
      <c r="D559" t="s">
        <v>200</v>
      </c>
      <c r="E559" t="s">
        <v>583</v>
      </c>
      <c r="F559" t="s">
        <v>18</v>
      </c>
      <c r="G559" t="s">
        <v>22</v>
      </c>
      <c r="H559">
        <v>0</v>
      </c>
      <c r="I559">
        <v>3</v>
      </c>
      <c r="J559">
        <v>1450</v>
      </c>
      <c r="K559">
        <v>4350</v>
      </c>
      <c r="L559">
        <v>0</v>
      </c>
      <c r="M559">
        <v>4350</v>
      </c>
      <c r="N559" t="s">
        <v>584</v>
      </c>
      <c r="O559" t="s">
        <v>21</v>
      </c>
    </row>
    <row r="560" spans="1:15" x14ac:dyDescent="0.3">
      <c r="A560" t="str">
        <f t="shared" si="8"/>
        <v>W22-1K-218B-XX</v>
      </c>
      <c r="B560" t="s">
        <v>14</v>
      </c>
      <c r="C560" t="s">
        <v>585</v>
      </c>
      <c r="D560" t="s">
        <v>16</v>
      </c>
      <c r="E560" t="s">
        <v>586</v>
      </c>
      <c r="F560" t="s">
        <v>18</v>
      </c>
      <c r="G560" t="s">
        <v>22</v>
      </c>
      <c r="H560">
        <v>0</v>
      </c>
      <c r="I560">
        <v>1</v>
      </c>
      <c r="J560">
        <v>1080</v>
      </c>
      <c r="K560">
        <v>1080</v>
      </c>
      <c r="L560">
        <v>0</v>
      </c>
      <c r="M560">
        <v>1080</v>
      </c>
      <c r="O560" t="s">
        <v>21</v>
      </c>
    </row>
    <row r="561" spans="1:15" x14ac:dyDescent="0.3">
      <c r="A561" t="str">
        <f t="shared" si="8"/>
        <v>W22-1R-472-BK</v>
      </c>
      <c r="B561" t="s">
        <v>14</v>
      </c>
      <c r="C561" t="s">
        <v>587</v>
      </c>
      <c r="D561" t="s">
        <v>31</v>
      </c>
      <c r="E561" t="s">
        <v>588</v>
      </c>
      <c r="F561" t="s">
        <v>18</v>
      </c>
      <c r="G561" t="s">
        <v>537</v>
      </c>
      <c r="H561">
        <v>0</v>
      </c>
      <c r="I561">
        <v>38175</v>
      </c>
      <c r="J561">
        <v>442</v>
      </c>
      <c r="K561">
        <v>16873350</v>
      </c>
      <c r="L561">
        <v>0</v>
      </c>
      <c r="M561">
        <v>16873350</v>
      </c>
      <c r="O561" t="s">
        <v>21</v>
      </c>
    </row>
    <row r="562" spans="1:15" x14ac:dyDescent="0.3">
      <c r="A562" t="str">
        <f t="shared" si="8"/>
        <v>W22-3I-368-XX</v>
      </c>
      <c r="B562" t="s">
        <v>14</v>
      </c>
      <c r="C562" t="s">
        <v>590</v>
      </c>
      <c r="D562" t="s">
        <v>16</v>
      </c>
      <c r="E562" t="s">
        <v>591</v>
      </c>
      <c r="F562" t="s">
        <v>18</v>
      </c>
      <c r="G562" t="s">
        <v>22</v>
      </c>
      <c r="H562">
        <v>0</v>
      </c>
      <c r="I562">
        <v>4</v>
      </c>
      <c r="J562">
        <v>220</v>
      </c>
      <c r="K562">
        <v>880</v>
      </c>
      <c r="L562">
        <v>0</v>
      </c>
      <c r="M562">
        <v>880</v>
      </c>
      <c r="N562" t="s">
        <v>592</v>
      </c>
      <c r="O562" t="s">
        <v>21</v>
      </c>
    </row>
    <row r="563" spans="1:15" x14ac:dyDescent="0.3">
      <c r="A563" t="str">
        <f t="shared" si="8"/>
        <v>W22-3I-433-WW</v>
      </c>
      <c r="B563" t="s">
        <v>14</v>
      </c>
      <c r="C563" t="s">
        <v>593</v>
      </c>
      <c r="D563" t="s">
        <v>28</v>
      </c>
      <c r="E563" t="s">
        <v>594</v>
      </c>
      <c r="F563" t="s">
        <v>18</v>
      </c>
      <c r="G563" t="s">
        <v>595</v>
      </c>
      <c r="H563">
        <v>0</v>
      </c>
      <c r="I563">
        <v>6000</v>
      </c>
      <c r="J563">
        <v>180</v>
      </c>
      <c r="K563">
        <v>1080000</v>
      </c>
      <c r="L563">
        <v>0</v>
      </c>
      <c r="M563">
        <v>1080000</v>
      </c>
      <c r="N563" t="s">
        <v>86</v>
      </c>
      <c r="O563" t="s">
        <v>21</v>
      </c>
    </row>
    <row r="564" spans="1:15" x14ac:dyDescent="0.3">
      <c r="A564" t="str">
        <f t="shared" si="8"/>
        <v>W22-3I-458-TS</v>
      </c>
      <c r="B564" t="s">
        <v>14</v>
      </c>
      <c r="C564" t="s">
        <v>1808</v>
      </c>
      <c r="D564" t="s">
        <v>168</v>
      </c>
      <c r="E564" t="s">
        <v>1809</v>
      </c>
      <c r="F564" t="s">
        <v>18</v>
      </c>
      <c r="G564" t="s">
        <v>1810</v>
      </c>
      <c r="H564">
        <v>0</v>
      </c>
      <c r="I564">
        <v>1000</v>
      </c>
      <c r="J564">
        <v>260</v>
      </c>
      <c r="K564">
        <v>260000</v>
      </c>
      <c r="L564">
        <v>0</v>
      </c>
      <c r="M564">
        <v>260000</v>
      </c>
      <c r="N564" t="s">
        <v>87</v>
      </c>
      <c r="O564" t="s">
        <v>21</v>
      </c>
    </row>
    <row r="565" spans="1:15" x14ac:dyDescent="0.3">
      <c r="A565" t="str">
        <f t="shared" si="8"/>
        <v>W22-3I-473-MM</v>
      </c>
      <c r="B565" t="s">
        <v>14</v>
      </c>
      <c r="C565" t="s">
        <v>1811</v>
      </c>
      <c r="D565" t="s">
        <v>57</v>
      </c>
      <c r="E565" t="s">
        <v>1812</v>
      </c>
      <c r="F565" t="s">
        <v>18</v>
      </c>
      <c r="G565" t="s">
        <v>22</v>
      </c>
      <c r="H565">
        <v>0</v>
      </c>
      <c r="I565">
        <v>25</v>
      </c>
      <c r="J565">
        <v>110</v>
      </c>
      <c r="K565">
        <v>2750</v>
      </c>
      <c r="L565">
        <v>0</v>
      </c>
      <c r="M565">
        <v>2750</v>
      </c>
      <c r="N565" t="s">
        <v>1813</v>
      </c>
      <c r="O565" t="s">
        <v>21</v>
      </c>
    </row>
    <row r="566" spans="1:15" x14ac:dyDescent="0.3">
      <c r="A566" t="str">
        <f t="shared" si="8"/>
        <v>W23-1D-210-XX</v>
      </c>
      <c r="B566" t="s">
        <v>14</v>
      </c>
      <c r="C566" t="s">
        <v>596</v>
      </c>
      <c r="D566" t="s">
        <v>16</v>
      </c>
      <c r="E566" t="s">
        <v>597</v>
      </c>
      <c r="F566" t="s">
        <v>18</v>
      </c>
      <c r="G566" t="s">
        <v>22</v>
      </c>
      <c r="H566">
        <v>0</v>
      </c>
      <c r="I566">
        <v>2</v>
      </c>
      <c r="J566">
        <v>1450</v>
      </c>
      <c r="K566">
        <v>2900</v>
      </c>
      <c r="L566">
        <v>0</v>
      </c>
      <c r="M566">
        <v>2900</v>
      </c>
      <c r="N566" t="s">
        <v>598</v>
      </c>
      <c r="O566" t="s">
        <v>21</v>
      </c>
    </row>
    <row r="567" spans="1:15" x14ac:dyDescent="0.3">
      <c r="A567" t="str">
        <f t="shared" si="8"/>
        <v>W23-1D-323-XX</v>
      </c>
      <c r="B567" t="s">
        <v>14</v>
      </c>
      <c r="C567" t="s">
        <v>599</v>
      </c>
      <c r="D567" t="s">
        <v>16</v>
      </c>
      <c r="E567" t="s">
        <v>600</v>
      </c>
      <c r="F567" t="s">
        <v>18</v>
      </c>
      <c r="G567" t="s">
        <v>22</v>
      </c>
      <c r="H567">
        <v>0</v>
      </c>
      <c r="I567">
        <v>3</v>
      </c>
      <c r="J567">
        <v>6350</v>
      </c>
      <c r="K567">
        <v>19050</v>
      </c>
      <c r="L567">
        <v>0</v>
      </c>
      <c r="M567">
        <v>19050</v>
      </c>
      <c r="N567" t="s">
        <v>601</v>
      </c>
      <c r="O567" t="s">
        <v>21</v>
      </c>
    </row>
    <row r="568" spans="1:15" x14ac:dyDescent="0.3">
      <c r="A568" t="str">
        <f t="shared" si="8"/>
        <v>W23-1D-324-XX</v>
      </c>
      <c r="B568" t="s">
        <v>14</v>
      </c>
      <c r="C568" t="s">
        <v>1814</v>
      </c>
      <c r="D568" t="s">
        <v>16</v>
      </c>
      <c r="E568" t="s">
        <v>1815</v>
      </c>
      <c r="F568" t="s">
        <v>18</v>
      </c>
      <c r="G568" t="s">
        <v>22</v>
      </c>
      <c r="H568">
        <v>0</v>
      </c>
      <c r="I568">
        <v>5</v>
      </c>
      <c r="J568">
        <v>6350</v>
      </c>
      <c r="K568">
        <v>31750</v>
      </c>
      <c r="L568">
        <v>0</v>
      </c>
      <c r="M568">
        <v>31750</v>
      </c>
      <c r="N568" t="s">
        <v>601</v>
      </c>
      <c r="O568" t="s">
        <v>21</v>
      </c>
    </row>
    <row r="569" spans="1:15" x14ac:dyDescent="0.3">
      <c r="A569" t="str">
        <f t="shared" si="8"/>
        <v>W23-1D-325-XX</v>
      </c>
      <c r="B569" t="s">
        <v>14</v>
      </c>
      <c r="C569" t="s">
        <v>602</v>
      </c>
      <c r="D569" t="s">
        <v>16</v>
      </c>
      <c r="E569" t="s">
        <v>603</v>
      </c>
      <c r="F569" t="s">
        <v>18</v>
      </c>
      <c r="G569" t="s">
        <v>22</v>
      </c>
      <c r="H569">
        <v>0</v>
      </c>
      <c r="I569">
        <v>1</v>
      </c>
      <c r="J569">
        <v>6350</v>
      </c>
      <c r="K569">
        <v>6350</v>
      </c>
      <c r="L569">
        <v>0</v>
      </c>
      <c r="M569">
        <v>6350</v>
      </c>
      <c r="N569" t="s">
        <v>601</v>
      </c>
      <c r="O569" t="s">
        <v>21</v>
      </c>
    </row>
    <row r="570" spans="1:15" x14ac:dyDescent="0.3">
      <c r="A570" t="str">
        <f t="shared" si="8"/>
        <v>W23-1D-336-XX</v>
      </c>
      <c r="B570" t="s">
        <v>14</v>
      </c>
      <c r="C570" t="s">
        <v>604</v>
      </c>
      <c r="D570" t="s">
        <v>16</v>
      </c>
      <c r="E570" t="s">
        <v>605</v>
      </c>
      <c r="F570" t="s">
        <v>18</v>
      </c>
      <c r="G570" t="s">
        <v>49</v>
      </c>
      <c r="H570">
        <v>0</v>
      </c>
      <c r="I570">
        <v>0</v>
      </c>
      <c r="J570">
        <v>4500</v>
      </c>
      <c r="K570">
        <v>0</v>
      </c>
      <c r="L570">
        <v>0</v>
      </c>
      <c r="M570">
        <v>0</v>
      </c>
      <c r="N570" t="s">
        <v>606</v>
      </c>
      <c r="O570" t="s">
        <v>21</v>
      </c>
    </row>
    <row r="571" spans="1:15" x14ac:dyDescent="0.3">
      <c r="A571" t="str">
        <f t="shared" si="8"/>
        <v>W23-1D-336-XX</v>
      </c>
      <c r="B571" t="s">
        <v>14</v>
      </c>
      <c r="C571" t="s">
        <v>604</v>
      </c>
      <c r="D571" t="s">
        <v>16</v>
      </c>
      <c r="E571" t="s">
        <v>605</v>
      </c>
      <c r="F571" t="s">
        <v>18</v>
      </c>
      <c r="G571" t="s">
        <v>49</v>
      </c>
      <c r="H571">
        <v>0</v>
      </c>
      <c r="I571">
        <v>100</v>
      </c>
      <c r="J571">
        <v>4410</v>
      </c>
      <c r="K571">
        <v>441000</v>
      </c>
      <c r="L571">
        <v>0</v>
      </c>
      <c r="M571">
        <v>441000</v>
      </c>
      <c r="N571" t="s">
        <v>606</v>
      </c>
      <c r="O571" t="s">
        <v>21</v>
      </c>
    </row>
    <row r="572" spans="1:15" x14ac:dyDescent="0.3">
      <c r="A572" t="str">
        <f t="shared" si="8"/>
        <v>W23-1H-123-XX</v>
      </c>
      <c r="B572" t="s">
        <v>14</v>
      </c>
      <c r="C572" t="s">
        <v>1816</v>
      </c>
      <c r="D572" t="s">
        <v>16</v>
      </c>
      <c r="E572" t="s">
        <v>1817</v>
      </c>
      <c r="F572" t="s">
        <v>18</v>
      </c>
      <c r="G572" t="s">
        <v>29</v>
      </c>
      <c r="H572">
        <v>0</v>
      </c>
      <c r="I572">
        <v>100</v>
      </c>
      <c r="J572">
        <v>2410</v>
      </c>
      <c r="K572">
        <v>241000</v>
      </c>
      <c r="L572">
        <v>0</v>
      </c>
      <c r="M572">
        <v>241000</v>
      </c>
      <c r="N572" t="s">
        <v>607</v>
      </c>
      <c r="O572" t="s">
        <v>21</v>
      </c>
    </row>
    <row r="573" spans="1:15" x14ac:dyDescent="0.3">
      <c r="A573" t="str">
        <f t="shared" si="8"/>
        <v>W23-1H-123-XX</v>
      </c>
      <c r="B573" t="s">
        <v>14</v>
      </c>
      <c r="C573" t="s">
        <v>1816</v>
      </c>
      <c r="D573" t="s">
        <v>16</v>
      </c>
      <c r="E573" t="s">
        <v>1817</v>
      </c>
      <c r="F573" t="s">
        <v>18</v>
      </c>
      <c r="G573" t="s">
        <v>35</v>
      </c>
      <c r="H573">
        <v>0</v>
      </c>
      <c r="I573">
        <v>2</v>
      </c>
      <c r="J573">
        <v>2410</v>
      </c>
      <c r="K573">
        <v>4820</v>
      </c>
      <c r="L573">
        <v>0</v>
      </c>
      <c r="M573">
        <v>4820</v>
      </c>
      <c r="N573" t="s">
        <v>607</v>
      </c>
      <c r="O573" t="s">
        <v>21</v>
      </c>
    </row>
    <row r="574" spans="1:15" x14ac:dyDescent="0.3">
      <c r="A574" t="str">
        <f t="shared" si="8"/>
        <v>W23-1H-123-XX</v>
      </c>
      <c r="B574" t="s">
        <v>14</v>
      </c>
      <c r="C574" t="s">
        <v>1816</v>
      </c>
      <c r="D574" t="s">
        <v>16</v>
      </c>
      <c r="E574" t="s">
        <v>1817</v>
      </c>
      <c r="F574" t="s">
        <v>18</v>
      </c>
      <c r="G574" t="s">
        <v>29</v>
      </c>
      <c r="H574">
        <v>0</v>
      </c>
      <c r="I574">
        <v>200</v>
      </c>
      <c r="J574">
        <v>2460</v>
      </c>
      <c r="K574">
        <v>492000</v>
      </c>
      <c r="L574">
        <v>0</v>
      </c>
      <c r="M574">
        <v>492000</v>
      </c>
      <c r="N574" t="s">
        <v>607</v>
      </c>
      <c r="O574" t="s">
        <v>21</v>
      </c>
    </row>
    <row r="575" spans="1:15" x14ac:dyDescent="0.3">
      <c r="A575" t="str">
        <f t="shared" si="8"/>
        <v>W23-1H-124-XX</v>
      </c>
      <c r="B575" t="s">
        <v>14</v>
      </c>
      <c r="C575" t="s">
        <v>1818</v>
      </c>
      <c r="D575" t="s">
        <v>16</v>
      </c>
      <c r="E575" t="s">
        <v>1819</v>
      </c>
      <c r="F575" t="s">
        <v>18</v>
      </c>
      <c r="G575" t="s">
        <v>35</v>
      </c>
      <c r="H575">
        <v>0</v>
      </c>
      <c r="I575">
        <v>2</v>
      </c>
      <c r="J575">
        <v>510</v>
      </c>
      <c r="K575">
        <v>1020</v>
      </c>
      <c r="L575">
        <v>0</v>
      </c>
      <c r="M575">
        <v>1020</v>
      </c>
      <c r="N575" t="s">
        <v>607</v>
      </c>
      <c r="O575" t="s">
        <v>21</v>
      </c>
    </row>
    <row r="576" spans="1:15" x14ac:dyDescent="0.3">
      <c r="A576" t="str">
        <f t="shared" si="8"/>
        <v>W23-1H-124-XX</v>
      </c>
      <c r="B576" t="s">
        <v>14</v>
      </c>
      <c r="C576" t="s">
        <v>1818</v>
      </c>
      <c r="D576" t="s">
        <v>16</v>
      </c>
      <c r="E576" t="s">
        <v>1819</v>
      </c>
      <c r="F576" t="s">
        <v>18</v>
      </c>
      <c r="G576" t="s">
        <v>29</v>
      </c>
      <c r="H576">
        <v>0</v>
      </c>
      <c r="I576">
        <v>100</v>
      </c>
      <c r="J576">
        <v>510</v>
      </c>
      <c r="K576">
        <v>51000</v>
      </c>
      <c r="L576">
        <v>0</v>
      </c>
      <c r="M576">
        <v>51000</v>
      </c>
      <c r="N576" t="s">
        <v>607</v>
      </c>
      <c r="O576" t="s">
        <v>21</v>
      </c>
    </row>
    <row r="577" spans="1:15" x14ac:dyDescent="0.3">
      <c r="A577" t="str">
        <f t="shared" si="8"/>
        <v>W23-1H-124-XX</v>
      </c>
      <c r="B577" t="s">
        <v>14</v>
      </c>
      <c r="C577" t="s">
        <v>1818</v>
      </c>
      <c r="D577" t="s">
        <v>16</v>
      </c>
      <c r="E577" t="s">
        <v>1819</v>
      </c>
      <c r="F577" t="s">
        <v>18</v>
      </c>
      <c r="G577" t="s">
        <v>29</v>
      </c>
      <c r="H577">
        <v>0</v>
      </c>
      <c r="I577">
        <v>200</v>
      </c>
      <c r="J577">
        <v>520</v>
      </c>
      <c r="K577">
        <v>104000</v>
      </c>
      <c r="L577">
        <v>0</v>
      </c>
      <c r="M577">
        <v>104000</v>
      </c>
      <c r="N577" t="s">
        <v>607</v>
      </c>
      <c r="O577" t="s">
        <v>21</v>
      </c>
    </row>
    <row r="578" spans="1:15" x14ac:dyDescent="0.3">
      <c r="A578" t="str">
        <f t="shared" si="8"/>
        <v>W23-1H-201-NI</v>
      </c>
      <c r="B578" t="s">
        <v>14</v>
      </c>
      <c r="C578" t="s">
        <v>608</v>
      </c>
      <c r="D578" t="s">
        <v>67</v>
      </c>
      <c r="E578" t="s">
        <v>609</v>
      </c>
      <c r="F578" t="s">
        <v>18</v>
      </c>
      <c r="G578" t="s">
        <v>174</v>
      </c>
      <c r="H578">
        <v>0</v>
      </c>
      <c r="I578">
        <v>0</v>
      </c>
      <c r="J578">
        <v>950</v>
      </c>
      <c r="K578">
        <v>0</v>
      </c>
      <c r="L578">
        <v>0</v>
      </c>
      <c r="M578">
        <v>0</v>
      </c>
      <c r="N578" t="s">
        <v>610</v>
      </c>
      <c r="O578" t="s">
        <v>21</v>
      </c>
    </row>
    <row r="579" spans="1:15" x14ac:dyDescent="0.3">
      <c r="A579" t="str">
        <f t="shared" ref="A579:A642" si="9">C579&amp;"-"&amp;D579</f>
        <v>W23-1H-201-NI</v>
      </c>
      <c r="B579" t="s">
        <v>14</v>
      </c>
      <c r="C579" t="s">
        <v>608</v>
      </c>
      <c r="D579" t="s">
        <v>67</v>
      </c>
      <c r="E579" t="s">
        <v>609</v>
      </c>
      <c r="F579" t="s">
        <v>18</v>
      </c>
      <c r="G579" t="s">
        <v>174</v>
      </c>
      <c r="H579">
        <v>0</v>
      </c>
      <c r="I579">
        <v>900</v>
      </c>
      <c r="J579">
        <v>930</v>
      </c>
      <c r="K579">
        <v>837000</v>
      </c>
      <c r="L579">
        <v>0</v>
      </c>
      <c r="M579">
        <v>837000</v>
      </c>
      <c r="N579" t="s">
        <v>610</v>
      </c>
      <c r="O579" t="s">
        <v>21</v>
      </c>
    </row>
    <row r="580" spans="1:15" x14ac:dyDescent="0.3">
      <c r="A580" t="str">
        <f t="shared" si="9"/>
        <v>W23-1H-204-CR</v>
      </c>
      <c r="B580" t="s">
        <v>14</v>
      </c>
      <c r="C580" t="s">
        <v>611</v>
      </c>
      <c r="D580" t="s">
        <v>81</v>
      </c>
      <c r="E580" t="s">
        <v>612</v>
      </c>
      <c r="F580" t="s">
        <v>18</v>
      </c>
      <c r="G580" t="s">
        <v>120</v>
      </c>
      <c r="H580">
        <v>0</v>
      </c>
      <c r="I580">
        <v>300</v>
      </c>
      <c r="J580">
        <v>1420</v>
      </c>
      <c r="K580">
        <v>426000</v>
      </c>
      <c r="L580">
        <v>0</v>
      </c>
      <c r="M580">
        <v>426000</v>
      </c>
      <c r="N580" t="s">
        <v>613</v>
      </c>
      <c r="O580" t="s">
        <v>21</v>
      </c>
    </row>
    <row r="581" spans="1:15" x14ac:dyDescent="0.3">
      <c r="A581" t="str">
        <f t="shared" si="9"/>
        <v>W23-1H-204-CR</v>
      </c>
      <c r="B581" t="s">
        <v>14</v>
      </c>
      <c r="C581" t="s">
        <v>611</v>
      </c>
      <c r="D581" t="s">
        <v>81</v>
      </c>
      <c r="E581" t="s">
        <v>612</v>
      </c>
      <c r="F581" t="s">
        <v>18</v>
      </c>
      <c r="G581" t="s">
        <v>35</v>
      </c>
      <c r="H581">
        <v>0</v>
      </c>
      <c r="I581">
        <v>0</v>
      </c>
      <c r="J581">
        <v>1420</v>
      </c>
      <c r="K581">
        <v>0</v>
      </c>
      <c r="L581">
        <v>0</v>
      </c>
      <c r="M581">
        <v>0</v>
      </c>
      <c r="N581" t="s">
        <v>613</v>
      </c>
      <c r="O581" t="s">
        <v>21</v>
      </c>
    </row>
    <row r="582" spans="1:15" x14ac:dyDescent="0.3">
      <c r="A582" t="str">
        <f t="shared" si="9"/>
        <v>W23-1H-204-CR</v>
      </c>
      <c r="B582" t="s">
        <v>14</v>
      </c>
      <c r="C582" t="s">
        <v>611</v>
      </c>
      <c r="D582" t="s">
        <v>81</v>
      </c>
      <c r="E582" t="s">
        <v>612</v>
      </c>
      <c r="F582" t="s">
        <v>18</v>
      </c>
      <c r="G582" t="s">
        <v>210</v>
      </c>
      <c r="H582">
        <v>0</v>
      </c>
      <c r="I582">
        <v>100</v>
      </c>
      <c r="J582">
        <v>1390</v>
      </c>
      <c r="K582">
        <v>139000</v>
      </c>
      <c r="L582">
        <v>0</v>
      </c>
      <c r="M582">
        <v>139000</v>
      </c>
      <c r="N582" t="s">
        <v>613</v>
      </c>
      <c r="O582" t="s">
        <v>21</v>
      </c>
    </row>
    <row r="583" spans="1:15" x14ac:dyDescent="0.3">
      <c r="A583" t="str">
        <f t="shared" si="9"/>
        <v>W23-1H-204-CR</v>
      </c>
      <c r="B583" t="s">
        <v>14</v>
      </c>
      <c r="C583" t="s">
        <v>611</v>
      </c>
      <c r="D583" t="s">
        <v>81</v>
      </c>
      <c r="E583" t="s">
        <v>612</v>
      </c>
      <c r="F583" t="s">
        <v>18</v>
      </c>
      <c r="G583" t="s">
        <v>35</v>
      </c>
      <c r="H583">
        <v>0</v>
      </c>
      <c r="I583">
        <v>1800</v>
      </c>
      <c r="J583">
        <v>1390</v>
      </c>
      <c r="K583">
        <v>2502000</v>
      </c>
      <c r="L583">
        <v>0</v>
      </c>
      <c r="M583">
        <v>2502000</v>
      </c>
      <c r="N583" t="s">
        <v>613</v>
      </c>
      <c r="O583" t="s">
        <v>21</v>
      </c>
    </row>
    <row r="584" spans="1:15" x14ac:dyDescent="0.3">
      <c r="A584" t="str">
        <f t="shared" si="9"/>
        <v>W23-1H-204-CR</v>
      </c>
      <c r="B584" t="s">
        <v>14</v>
      </c>
      <c r="C584" t="s">
        <v>611</v>
      </c>
      <c r="D584" t="s">
        <v>81</v>
      </c>
      <c r="E584" t="s">
        <v>612</v>
      </c>
      <c r="F584" t="s">
        <v>18</v>
      </c>
      <c r="G584" t="s">
        <v>49</v>
      </c>
      <c r="H584">
        <v>0</v>
      </c>
      <c r="I584">
        <v>300</v>
      </c>
      <c r="J584">
        <v>1390</v>
      </c>
      <c r="K584">
        <v>417000</v>
      </c>
      <c r="L584">
        <v>0</v>
      </c>
      <c r="M584">
        <v>417000</v>
      </c>
      <c r="N584" t="s">
        <v>613</v>
      </c>
      <c r="O584" t="s">
        <v>21</v>
      </c>
    </row>
    <row r="585" spans="1:15" x14ac:dyDescent="0.3">
      <c r="A585" t="str">
        <f t="shared" si="9"/>
        <v>W23-1H-207A-CR</v>
      </c>
      <c r="B585" t="s">
        <v>14</v>
      </c>
      <c r="C585" t="s">
        <v>614</v>
      </c>
      <c r="D585" t="s">
        <v>81</v>
      </c>
      <c r="E585" t="s">
        <v>615</v>
      </c>
      <c r="F585" t="s">
        <v>18</v>
      </c>
      <c r="G585" t="s">
        <v>29</v>
      </c>
      <c r="H585">
        <v>0</v>
      </c>
      <c r="I585">
        <v>4</v>
      </c>
      <c r="J585">
        <v>820</v>
      </c>
      <c r="K585">
        <v>3280</v>
      </c>
      <c r="L585">
        <v>0</v>
      </c>
      <c r="M585">
        <v>3280</v>
      </c>
      <c r="N585" t="s">
        <v>616</v>
      </c>
      <c r="O585" t="s">
        <v>21</v>
      </c>
    </row>
    <row r="586" spans="1:15" x14ac:dyDescent="0.3">
      <c r="A586" t="str">
        <f t="shared" si="9"/>
        <v>W23-1H-210A-XX</v>
      </c>
      <c r="B586" t="s">
        <v>14</v>
      </c>
      <c r="C586" t="s">
        <v>617</v>
      </c>
      <c r="D586" t="s">
        <v>16</v>
      </c>
      <c r="E586" t="s">
        <v>1820</v>
      </c>
      <c r="F586" t="s">
        <v>18</v>
      </c>
      <c r="G586" t="s">
        <v>49</v>
      </c>
      <c r="H586">
        <v>0</v>
      </c>
      <c r="I586">
        <v>0</v>
      </c>
      <c r="J586">
        <v>690</v>
      </c>
      <c r="K586">
        <v>0</v>
      </c>
      <c r="L586">
        <v>0</v>
      </c>
      <c r="M586">
        <v>0</v>
      </c>
      <c r="N586" t="s">
        <v>618</v>
      </c>
      <c r="O586" t="s">
        <v>21</v>
      </c>
    </row>
    <row r="587" spans="1:15" x14ac:dyDescent="0.3">
      <c r="A587" t="str">
        <f t="shared" si="9"/>
        <v>W23-1H-210A-XX</v>
      </c>
      <c r="B587" t="s">
        <v>14</v>
      </c>
      <c r="C587" t="s">
        <v>617</v>
      </c>
      <c r="D587" t="s">
        <v>16</v>
      </c>
      <c r="E587" t="s">
        <v>1820</v>
      </c>
      <c r="F587" t="s">
        <v>18</v>
      </c>
      <c r="G587" t="s">
        <v>174</v>
      </c>
      <c r="H587">
        <v>0</v>
      </c>
      <c r="I587">
        <v>2100</v>
      </c>
      <c r="J587">
        <v>670</v>
      </c>
      <c r="K587">
        <v>1407000</v>
      </c>
      <c r="L587">
        <v>0</v>
      </c>
      <c r="M587">
        <v>1407000</v>
      </c>
      <c r="N587" t="s">
        <v>618</v>
      </c>
      <c r="O587" t="s">
        <v>21</v>
      </c>
    </row>
    <row r="588" spans="1:15" x14ac:dyDescent="0.3">
      <c r="A588" t="str">
        <f t="shared" si="9"/>
        <v>W23-1H-210A-XX</v>
      </c>
      <c r="B588" t="s">
        <v>14</v>
      </c>
      <c r="C588" t="s">
        <v>617</v>
      </c>
      <c r="D588" t="s">
        <v>16</v>
      </c>
      <c r="E588" t="s">
        <v>1820</v>
      </c>
      <c r="F588" t="s">
        <v>18</v>
      </c>
      <c r="G588" t="s">
        <v>19</v>
      </c>
      <c r="H588">
        <v>0</v>
      </c>
      <c r="I588">
        <v>3900</v>
      </c>
      <c r="J588">
        <v>670</v>
      </c>
      <c r="K588">
        <v>2613000</v>
      </c>
      <c r="L588">
        <v>0</v>
      </c>
      <c r="M588">
        <v>2613000</v>
      </c>
      <c r="N588" t="s">
        <v>618</v>
      </c>
      <c r="O588" t="s">
        <v>21</v>
      </c>
    </row>
    <row r="589" spans="1:15" x14ac:dyDescent="0.3">
      <c r="A589" t="str">
        <f t="shared" si="9"/>
        <v>W23-1H-210A-XX</v>
      </c>
      <c r="B589" t="s">
        <v>14</v>
      </c>
      <c r="C589" t="s">
        <v>617</v>
      </c>
      <c r="D589" t="s">
        <v>16</v>
      </c>
      <c r="E589" t="s">
        <v>1820</v>
      </c>
      <c r="F589" t="s">
        <v>18</v>
      </c>
      <c r="G589" t="s">
        <v>174</v>
      </c>
      <c r="H589">
        <v>0</v>
      </c>
      <c r="I589">
        <v>0</v>
      </c>
      <c r="J589">
        <v>690</v>
      </c>
      <c r="K589">
        <v>0</v>
      </c>
      <c r="L589">
        <v>0</v>
      </c>
      <c r="M589">
        <v>0</v>
      </c>
      <c r="N589" t="s">
        <v>618</v>
      </c>
      <c r="O589" t="s">
        <v>21</v>
      </c>
    </row>
    <row r="590" spans="1:15" x14ac:dyDescent="0.3">
      <c r="A590" t="str">
        <f t="shared" si="9"/>
        <v>W23-1H-210A-XX</v>
      </c>
      <c r="B590" t="s">
        <v>14</v>
      </c>
      <c r="C590" t="s">
        <v>617</v>
      </c>
      <c r="D590" t="s">
        <v>16</v>
      </c>
      <c r="E590" t="s">
        <v>1820</v>
      </c>
      <c r="F590" t="s">
        <v>18</v>
      </c>
      <c r="G590" t="s">
        <v>49</v>
      </c>
      <c r="H590">
        <v>0</v>
      </c>
      <c r="I590">
        <v>12507</v>
      </c>
      <c r="J590">
        <v>670</v>
      </c>
      <c r="K590">
        <v>8379690</v>
      </c>
      <c r="L590">
        <v>0</v>
      </c>
      <c r="M590">
        <v>8379690</v>
      </c>
      <c r="N590" t="s">
        <v>618</v>
      </c>
      <c r="O590" t="s">
        <v>21</v>
      </c>
    </row>
    <row r="591" spans="1:15" x14ac:dyDescent="0.3">
      <c r="A591" t="str">
        <f t="shared" si="9"/>
        <v>W23-1H-210A-XX</v>
      </c>
      <c r="B591" t="s">
        <v>14</v>
      </c>
      <c r="C591" t="s">
        <v>617</v>
      </c>
      <c r="D591" t="s">
        <v>16</v>
      </c>
      <c r="E591" t="s">
        <v>1820</v>
      </c>
      <c r="F591" t="s">
        <v>18</v>
      </c>
      <c r="G591" t="s">
        <v>19</v>
      </c>
      <c r="H591">
        <v>0</v>
      </c>
      <c r="I591">
        <v>0</v>
      </c>
      <c r="J591">
        <v>690</v>
      </c>
      <c r="K591">
        <v>0</v>
      </c>
      <c r="L591">
        <v>0</v>
      </c>
      <c r="M591">
        <v>0</v>
      </c>
      <c r="N591" t="s">
        <v>618</v>
      </c>
      <c r="O591" t="s">
        <v>21</v>
      </c>
    </row>
    <row r="592" spans="1:15" x14ac:dyDescent="0.3">
      <c r="A592" t="str">
        <f t="shared" si="9"/>
        <v>W23-1H-303-SV</v>
      </c>
      <c r="B592" t="s">
        <v>14</v>
      </c>
      <c r="C592" t="s">
        <v>619</v>
      </c>
      <c r="D592" t="s">
        <v>173</v>
      </c>
      <c r="E592" t="s">
        <v>620</v>
      </c>
      <c r="F592" t="s">
        <v>18</v>
      </c>
      <c r="G592" t="s">
        <v>29</v>
      </c>
      <c r="H592">
        <v>0</v>
      </c>
      <c r="I592">
        <v>4</v>
      </c>
      <c r="J592">
        <v>340</v>
      </c>
      <c r="K592">
        <v>1360</v>
      </c>
      <c r="L592">
        <v>0</v>
      </c>
      <c r="M592">
        <v>1360</v>
      </c>
      <c r="N592" t="s">
        <v>621</v>
      </c>
      <c r="O592" t="s">
        <v>21</v>
      </c>
    </row>
    <row r="593" spans="1:15" x14ac:dyDescent="0.3">
      <c r="A593" t="str">
        <f t="shared" si="9"/>
        <v>W23-1H-400-XX</v>
      </c>
      <c r="B593" t="s">
        <v>14</v>
      </c>
      <c r="C593" t="s">
        <v>622</v>
      </c>
      <c r="D593" t="s">
        <v>16</v>
      </c>
      <c r="E593" t="s">
        <v>623</v>
      </c>
      <c r="F593" t="s">
        <v>18</v>
      </c>
      <c r="G593" t="s">
        <v>29</v>
      </c>
      <c r="H593">
        <v>0</v>
      </c>
      <c r="I593">
        <v>1</v>
      </c>
      <c r="J593">
        <v>1260</v>
      </c>
      <c r="K593">
        <v>1260</v>
      </c>
      <c r="L593">
        <v>0</v>
      </c>
      <c r="M593">
        <v>1260</v>
      </c>
      <c r="N593" t="s">
        <v>624</v>
      </c>
      <c r="O593" t="s">
        <v>21</v>
      </c>
    </row>
    <row r="594" spans="1:15" x14ac:dyDescent="0.3">
      <c r="A594" t="str">
        <f t="shared" si="9"/>
        <v>W23-1H-602-XX</v>
      </c>
      <c r="B594" t="s">
        <v>14</v>
      </c>
      <c r="C594" t="s">
        <v>625</v>
      </c>
      <c r="D594" t="s">
        <v>16</v>
      </c>
      <c r="E594" t="s">
        <v>626</v>
      </c>
      <c r="F594" t="s">
        <v>18</v>
      </c>
      <c r="G594" t="s">
        <v>22</v>
      </c>
      <c r="H594">
        <v>0</v>
      </c>
      <c r="I594">
        <v>2</v>
      </c>
      <c r="J594">
        <v>2230</v>
      </c>
      <c r="K594">
        <v>4460</v>
      </c>
      <c r="L594">
        <v>0</v>
      </c>
      <c r="M594">
        <v>4460</v>
      </c>
      <c r="O594" t="s">
        <v>21</v>
      </c>
    </row>
    <row r="595" spans="1:15" x14ac:dyDescent="0.3">
      <c r="A595" t="str">
        <f t="shared" si="9"/>
        <v>W23-1K-221A-XX</v>
      </c>
      <c r="B595" t="s">
        <v>14</v>
      </c>
      <c r="C595" t="s">
        <v>1821</v>
      </c>
      <c r="D595" t="s">
        <v>16</v>
      </c>
      <c r="E595" t="s">
        <v>1822</v>
      </c>
      <c r="F595" t="s">
        <v>18</v>
      </c>
      <c r="G595" t="s">
        <v>29</v>
      </c>
      <c r="H595">
        <v>0</v>
      </c>
      <c r="I595">
        <v>2</v>
      </c>
      <c r="J595">
        <v>10520</v>
      </c>
      <c r="K595">
        <v>21040</v>
      </c>
      <c r="L595">
        <v>0</v>
      </c>
      <c r="M595">
        <v>21040</v>
      </c>
      <c r="O595" t="s">
        <v>21</v>
      </c>
    </row>
    <row r="596" spans="1:15" x14ac:dyDescent="0.3">
      <c r="A596" t="str">
        <f t="shared" si="9"/>
        <v>W23-1K-221B-XX</v>
      </c>
      <c r="B596" t="s">
        <v>14</v>
      </c>
      <c r="C596" t="s">
        <v>1823</v>
      </c>
      <c r="D596" t="s">
        <v>16</v>
      </c>
      <c r="E596" t="s">
        <v>1824</v>
      </c>
      <c r="F596" t="s">
        <v>18</v>
      </c>
      <c r="G596" t="s">
        <v>29</v>
      </c>
      <c r="H596">
        <v>0</v>
      </c>
      <c r="I596">
        <v>1</v>
      </c>
      <c r="J596">
        <v>10520</v>
      </c>
      <c r="K596">
        <v>10520</v>
      </c>
      <c r="L596">
        <v>0</v>
      </c>
      <c r="M596">
        <v>10520</v>
      </c>
      <c r="O596" t="s">
        <v>21</v>
      </c>
    </row>
    <row r="597" spans="1:15" x14ac:dyDescent="0.3">
      <c r="A597" t="str">
        <f t="shared" si="9"/>
        <v>W23-1P-100-XX</v>
      </c>
      <c r="B597" t="s">
        <v>14</v>
      </c>
      <c r="C597" t="s">
        <v>1825</v>
      </c>
      <c r="D597" t="s">
        <v>16</v>
      </c>
      <c r="E597" t="s">
        <v>1826</v>
      </c>
      <c r="F597" t="s">
        <v>18</v>
      </c>
      <c r="G597" t="s">
        <v>1613</v>
      </c>
      <c r="H597">
        <v>0</v>
      </c>
      <c r="I597">
        <v>600</v>
      </c>
      <c r="J597">
        <v>2630</v>
      </c>
      <c r="K597">
        <v>1578000</v>
      </c>
      <c r="L597">
        <v>0</v>
      </c>
      <c r="M597">
        <v>1578000</v>
      </c>
      <c r="N597" t="s">
        <v>1827</v>
      </c>
      <c r="O597" t="s">
        <v>21</v>
      </c>
    </row>
    <row r="598" spans="1:15" x14ac:dyDescent="0.3">
      <c r="A598" t="str">
        <f t="shared" si="9"/>
        <v>W23-1R-514L-XX</v>
      </c>
      <c r="B598" t="s">
        <v>14</v>
      </c>
      <c r="C598" t="s">
        <v>1828</v>
      </c>
      <c r="D598" t="s">
        <v>16</v>
      </c>
      <c r="E598" t="s">
        <v>1829</v>
      </c>
      <c r="F598" t="s">
        <v>18</v>
      </c>
      <c r="G598" t="s">
        <v>23</v>
      </c>
      <c r="H598">
        <v>0</v>
      </c>
      <c r="I598">
        <v>60</v>
      </c>
      <c r="J598">
        <v>6440</v>
      </c>
      <c r="K598">
        <v>386400</v>
      </c>
      <c r="L598">
        <v>0</v>
      </c>
      <c r="M598">
        <v>386400</v>
      </c>
      <c r="N598" t="s">
        <v>1830</v>
      </c>
      <c r="O598" t="s">
        <v>21</v>
      </c>
    </row>
    <row r="599" spans="1:15" x14ac:dyDescent="0.3">
      <c r="A599" t="str">
        <f t="shared" si="9"/>
        <v>W23-1R-514R-XX</v>
      </c>
      <c r="B599" t="s">
        <v>14</v>
      </c>
      <c r="C599" t="s">
        <v>1831</v>
      </c>
      <c r="D599" t="s">
        <v>16</v>
      </c>
      <c r="E599" t="s">
        <v>1832</v>
      </c>
      <c r="F599" t="s">
        <v>18</v>
      </c>
      <c r="G599" t="s">
        <v>23</v>
      </c>
      <c r="H599">
        <v>0</v>
      </c>
      <c r="I599">
        <v>60</v>
      </c>
      <c r="J599">
        <v>6440</v>
      </c>
      <c r="K599">
        <v>386400</v>
      </c>
      <c r="L599">
        <v>0</v>
      </c>
      <c r="M599">
        <v>386400</v>
      </c>
      <c r="N599" t="s">
        <v>1833</v>
      </c>
      <c r="O599" t="s">
        <v>21</v>
      </c>
    </row>
    <row r="600" spans="1:15" x14ac:dyDescent="0.3">
      <c r="A600" t="str">
        <f t="shared" si="9"/>
        <v>W23-1R-519L-XX</v>
      </c>
      <c r="B600" t="s">
        <v>14</v>
      </c>
      <c r="C600" t="s">
        <v>627</v>
      </c>
      <c r="D600" t="s">
        <v>16</v>
      </c>
      <c r="E600" t="s">
        <v>628</v>
      </c>
      <c r="F600" t="s">
        <v>18</v>
      </c>
      <c r="G600" t="s">
        <v>210</v>
      </c>
      <c r="H600">
        <v>0</v>
      </c>
      <c r="I600">
        <v>0</v>
      </c>
      <c r="J600">
        <v>3810</v>
      </c>
      <c r="K600">
        <v>0</v>
      </c>
      <c r="L600">
        <v>0</v>
      </c>
      <c r="M600">
        <v>0</v>
      </c>
      <c r="N600" t="s">
        <v>156</v>
      </c>
      <c r="O600" t="s">
        <v>21</v>
      </c>
    </row>
    <row r="601" spans="1:15" x14ac:dyDescent="0.3">
      <c r="A601" t="str">
        <f t="shared" si="9"/>
        <v>W23-1R-519L-XX</v>
      </c>
      <c r="B601" t="s">
        <v>14</v>
      </c>
      <c r="C601" t="s">
        <v>627</v>
      </c>
      <c r="D601" t="s">
        <v>16</v>
      </c>
      <c r="E601" t="s">
        <v>628</v>
      </c>
      <c r="F601" t="s">
        <v>18</v>
      </c>
      <c r="G601" t="s">
        <v>111</v>
      </c>
      <c r="H601">
        <v>0</v>
      </c>
      <c r="I601">
        <v>0</v>
      </c>
      <c r="J601">
        <v>3810</v>
      </c>
      <c r="K601">
        <v>0</v>
      </c>
      <c r="L601">
        <v>0</v>
      </c>
      <c r="M601">
        <v>0</v>
      </c>
      <c r="N601" t="s">
        <v>156</v>
      </c>
      <c r="O601" t="s">
        <v>21</v>
      </c>
    </row>
    <row r="602" spans="1:15" x14ac:dyDescent="0.3">
      <c r="A602" t="str">
        <f t="shared" si="9"/>
        <v>W23-1R-519L-XX</v>
      </c>
      <c r="B602" t="s">
        <v>14</v>
      </c>
      <c r="C602" t="s">
        <v>627</v>
      </c>
      <c r="D602" t="s">
        <v>16</v>
      </c>
      <c r="E602" t="s">
        <v>628</v>
      </c>
      <c r="F602" t="s">
        <v>18</v>
      </c>
      <c r="G602" t="s">
        <v>35</v>
      </c>
      <c r="H602">
        <v>0</v>
      </c>
      <c r="I602">
        <v>0</v>
      </c>
      <c r="J602">
        <v>3810</v>
      </c>
      <c r="K602">
        <v>0</v>
      </c>
      <c r="L602">
        <v>0</v>
      </c>
      <c r="M602">
        <v>0</v>
      </c>
      <c r="N602" t="s">
        <v>156</v>
      </c>
      <c r="O602" t="s">
        <v>21</v>
      </c>
    </row>
    <row r="603" spans="1:15" x14ac:dyDescent="0.3">
      <c r="A603" t="str">
        <f t="shared" si="9"/>
        <v>W23-1R-519L-XX</v>
      </c>
      <c r="B603" t="s">
        <v>14</v>
      </c>
      <c r="C603" t="s">
        <v>627</v>
      </c>
      <c r="D603" t="s">
        <v>16</v>
      </c>
      <c r="E603" t="s">
        <v>628</v>
      </c>
      <c r="F603" t="s">
        <v>18</v>
      </c>
      <c r="G603" t="s">
        <v>210</v>
      </c>
      <c r="H603">
        <v>0</v>
      </c>
      <c r="I603">
        <v>60</v>
      </c>
      <c r="J603">
        <v>3730</v>
      </c>
      <c r="K603">
        <v>223800</v>
      </c>
      <c r="L603">
        <v>0</v>
      </c>
      <c r="M603">
        <v>223800</v>
      </c>
      <c r="N603" t="s">
        <v>156</v>
      </c>
      <c r="O603" t="s">
        <v>21</v>
      </c>
    </row>
    <row r="604" spans="1:15" x14ac:dyDescent="0.3">
      <c r="A604" t="str">
        <f t="shared" si="9"/>
        <v>W23-1R-519L-XX</v>
      </c>
      <c r="B604" t="s">
        <v>14</v>
      </c>
      <c r="C604" t="s">
        <v>627</v>
      </c>
      <c r="D604" t="s">
        <v>16</v>
      </c>
      <c r="E604" t="s">
        <v>628</v>
      </c>
      <c r="F604" t="s">
        <v>18</v>
      </c>
      <c r="G604" t="s">
        <v>111</v>
      </c>
      <c r="H604">
        <v>0</v>
      </c>
      <c r="I604">
        <v>360</v>
      </c>
      <c r="J604">
        <v>3730</v>
      </c>
      <c r="K604">
        <v>1342800</v>
      </c>
      <c r="L604">
        <v>0</v>
      </c>
      <c r="M604">
        <v>1342800</v>
      </c>
      <c r="N604" t="s">
        <v>156</v>
      </c>
      <c r="O604" t="s">
        <v>21</v>
      </c>
    </row>
    <row r="605" spans="1:15" x14ac:dyDescent="0.3">
      <c r="A605" t="str">
        <f t="shared" si="9"/>
        <v>W23-1R-519L-XX</v>
      </c>
      <c r="B605" t="s">
        <v>14</v>
      </c>
      <c r="C605" t="s">
        <v>627</v>
      </c>
      <c r="D605" t="s">
        <v>16</v>
      </c>
      <c r="E605" t="s">
        <v>628</v>
      </c>
      <c r="F605" t="s">
        <v>18</v>
      </c>
      <c r="G605" t="s">
        <v>35</v>
      </c>
      <c r="H605">
        <v>0</v>
      </c>
      <c r="I605">
        <v>79</v>
      </c>
      <c r="J605">
        <v>3730</v>
      </c>
      <c r="K605">
        <v>294670</v>
      </c>
      <c r="L605">
        <v>0</v>
      </c>
      <c r="M605">
        <v>294670</v>
      </c>
      <c r="N605" t="s">
        <v>156</v>
      </c>
      <c r="O605" t="s">
        <v>21</v>
      </c>
    </row>
    <row r="606" spans="1:15" x14ac:dyDescent="0.3">
      <c r="A606" t="str">
        <f t="shared" si="9"/>
        <v>W23-1R-519R-XX</v>
      </c>
      <c r="B606" t="s">
        <v>14</v>
      </c>
      <c r="C606" t="s">
        <v>629</v>
      </c>
      <c r="D606" t="s">
        <v>16</v>
      </c>
      <c r="E606" t="s">
        <v>630</v>
      </c>
      <c r="F606" t="s">
        <v>18</v>
      </c>
      <c r="G606" t="s">
        <v>210</v>
      </c>
      <c r="H606">
        <v>0</v>
      </c>
      <c r="I606">
        <v>0</v>
      </c>
      <c r="J606">
        <v>3810</v>
      </c>
      <c r="K606">
        <v>0</v>
      </c>
      <c r="L606">
        <v>0</v>
      </c>
      <c r="M606">
        <v>0</v>
      </c>
      <c r="N606" t="s">
        <v>159</v>
      </c>
      <c r="O606" t="s">
        <v>21</v>
      </c>
    </row>
    <row r="607" spans="1:15" x14ac:dyDescent="0.3">
      <c r="A607" t="str">
        <f t="shared" si="9"/>
        <v>W23-1R-519R-XX</v>
      </c>
      <c r="B607" t="s">
        <v>14</v>
      </c>
      <c r="C607" t="s">
        <v>629</v>
      </c>
      <c r="D607" t="s">
        <v>16</v>
      </c>
      <c r="E607" t="s">
        <v>630</v>
      </c>
      <c r="F607" t="s">
        <v>18</v>
      </c>
      <c r="G607" t="s">
        <v>35</v>
      </c>
      <c r="H607">
        <v>0</v>
      </c>
      <c r="I607">
        <v>185</v>
      </c>
      <c r="J607">
        <v>3730</v>
      </c>
      <c r="K607">
        <v>690050</v>
      </c>
      <c r="L607">
        <v>0</v>
      </c>
      <c r="M607">
        <v>690050</v>
      </c>
      <c r="N607" t="s">
        <v>159</v>
      </c>
      <c r="O607" t="s">
        <v>21</v>
      </c>
    </row>
    <row r="608" spans="1:15" x14ac:dyDescent="0.3">
      <c r="A608" t="str">
        <f t="shared" si="9"/>
        <v>W23-1R-519R-XX</v>
      </c>
      <c r="B608" t="s">
        <v>14</v>
      </c>
      <c r="C608" t="s">
        <v>629</v>
      </c>
      <c r="D608" t="s">
        <v>16</v>
      </c>
      <c r="E608" t="s">
        <v>630</v>
      </c>
      <c r="F608" t="s">
        <v>18</v>
      </c>
      <c r="G608" t="s">
        <v>111</v>
      </c>
      <c r="H608">
        <v>0</v>
      </c>
      <c r="I608">
        <v>360</v>
      </c>
      <c r="J608">
        <v>3730</v>
      </c>
      <c r="K608">
        <v>1342800</v>
      </c>
      <c r="L608">
        <v>0</v>
      </c>
      <c r="M608">
        <v>1342800</v>
      </c>
      <c r="N608" t="s">
        <v>159</v>
      </c>
      <c r="O608" t="s">
        <v>21</v>
      </c>
    </row>
    <row r="609" spans="1:15" x14ac:dyDescent="0.3">
      <c r="A609" t="str">
        <f t="shared" si="9"/>
        <v>W23-1R-519R-XX</v>
      </c>
      <c r="B609" t="s">
        <v>14</v>
      </c>
      <c r="C609" t="s">
        <v>629</v>
      </c>
      <c r="D609" t="s">
        <v>16</v>
      </c>
      <c r="E609" t="s">
        <v>630</v>
      </c>
      <c r="F609" t="s">
        <v>18</v>
      </c>
      <c r="G609" t="s">
        <v>111</v>
      </c>
      <c r="H609">
        <v>0</v>
      </c>
      <c r="I609">
        <v>0</v>
      </c>
      <c r="J609">
        <v>3810</v>
      </c>
      <c r="K609">
        <v>0</v>
      </c>
      <c r="L609">
        <v>0</v>
      </c>
      <c r="M609">
        <v>0</v>
      </c>
      <c r="N609" t="s">
        <v>159</v>
      </c>
      <c r="O609" t="s">
        <v>21</v>
      </c>
    </row>
    <row r="610" spans="1:15" x14ac:dyDescent="0.3">
      <c r="A610" t="str">
        <f t="shared" si="9"/>
        <v>W23-1R-519R-XX</v>
      </c>
      <c r="B610" t="s">
        <v>14</v>
      </c>
      <c r="C610" t="s">
        <v>629</v>
      </c>
      <c r="D610" t="s">
        <v>16</v>
      </c>
      <c r="E610" t="s">
        <v>630</v>
      </c>
      <c r="F610" t="s">
        <v>18</v>
      </c>
      <c r="G610" t="s">
        <v>35</v>
      </c>
      <c r="H610">
        <v>0</v>
      </c>
      <c r="I610">
        <v>0</v>
      </c>
      <c r="J610">
        <v>3810</v>
      </c>
      <c r="K610">
        <v>0</v>
      </c>
      <c r="L610">
        <v>0</v>
      </c>
      <c r="M610">
        <v>0</v>
      </c>
      <c r="N610" t="s">
        <v>159</v>
      </c>
      <c r="O610" t="s">
        <v>21</v>
      </c>
    </row>
    <row r="611" spans="1:15" x14ac:dyDescent="0.3">
      <c r="A611" t="str">
        <f t="shared" si="9"/>
        <v>W23-1R-519R-XX</v>
      </c>
      <c r="B611" t="s">
        <v>14</v>
      </c>
      <c r="C611" t="s">
        <v>629</v>
      </c>
      <c r="D611" t="s">
        <v>16</v>
      </c>
      <c r="E611" t="s">
        <v>630</v>
      </c>
      <c r="F611" t="s">
        <v>18</v>
      </c>
      <c r="G611" t="s">
        <v>210</v>
      </c>
      <c r="H611">
        <v>0</v>
      </c>
      <c r="I611">
        <v>60</v>
      </c>
      <c r="J611">
        <v>3730</v>
      </c>
      <c r="K611">
        <v>223800</v>
      </c>
      <c r="L611">
        <v>0</v>
      </c>
      <c r="M611">
        <v>223800</v>
      </c>
      <c r="N611" t="s">
        <v>159</v>
      </c>
      <c r="O611" t="s">
        <v>21</v>
      </c>
    </row>
    <row r="612" spans="1:15" x14ac:dyDescent="0.3">
      <c r="A612" t="str">
        <f t="shared" si="9"/>
        <v>W23-1R-520L-XX</v>
      </c>
      <c r="B612" t="s">
        <v>14</v>
      </c>
      <c r="C612" t="s">
        <v>631</v>
      </c>
      <c r="D612" t="s">
        <v>16</v>
      </c>
      <c r="E612" t="s">
        <v>632</v>
      </c>
      <c r="F612" t="s">
        <v>18</v>
      </c>
      <c r="G612" t="s">
        <v>111</v>
      </c>
      <c r="H612">
        <v>0</v>
      </c>
      <c r="I612">
        <v>0</v>
      </c>
      <c r="J612">
        <v>4310</v>
      </c>
      <c r="K612">
        <v>0</v>
      </c>
      <c r="L612">
        <v>0</v>
      </c>
      <c r="M612">
        <v>0</v>
      </c>
      <c r="N612" t="s">
        <v>633</v>
      </c>
      <c r="O612" t="s">
        <v>21</v>
      </c>
    </row>
    <row r="613" spans="1:15" x14ac:dyDescent="0.3">
      <c r="A613" t="str">
        <f t="shared" si="9"/>
        <v>W23-1R-520L-XX</v>
      </c>
      <c r="B613" t="s">
        <v>14</v>
      </c>
      <c r="C613" t="s">
        <v>631</v>
      </c>
      <c r="D613" t="s">
        <v>16</v>
      </c>
      <c r="E613" t="s">
        <v>632</v>
      </c>
      <c r="F613" t="s">
        <v>18</v>
      </c>
      <c r="G613" t="s">
        <v>22</v>
      </c>
      <c r="H613">
        <v>0</v>
      </c>
      <c r="I613">
        <v>90</v>
      </c>
      <c r="J613">
        <v>4220</v>
      </c>
      <c r="K613">
        <v>379800</v>
      </c>
      <c r="L613">
        <v>0</v>
      </c>
      <c r="M613">
        <v>379800</v>
      </c>
      <c r="N613" t="s">
        <v>633</v>
      </c>
      <c r="O613" t="s">
        <v>21</v>
      </c>
    </row>
    <row r="614" spans="1:15" x14ac:dyDescent="0.3">
      <c r="A614" t="str">
        <f t="shared" si="9"/>
        <v>W23-1R-520L-XX</v>
      </c>
      <c r="B614" t="s">
        <v>14</v>
      </c>
      <c r="C614" t="s">
        <v>631</v>
      </c>
      <c r="D614" t="s">
        <v>16</v>
      </c>
      <c r="E614" t="s">
        <v>632</v>
      </c>
      <c r="F614" t="s">
        <v>18</v>
      </c>
      <c r="G614" t="s">
        <v>22</v>
      </c>
      <c r="H614">
        <v>0</v>
      </c>
      <c r="I614">
        <v>60</v>
      </c>
      <c r="J614">
        <v>4310</v>
      </c>
      <c r="K614">
        <v>258600</v>
      </c>
      <c r="L614">
        <v>0</v>
      </c>
      <c r="M614">
        <v>258600</v>
      </c>
      <c r="N614" t="s">
        <v>633</v>
      </c>
      <c r="O614" t="s">
        <v>21</v>
      </c>
    </row>
    <row r="615" spans="1:15" x14ac:dyDescent="0.3">
      <c r="A615" t="str">
        <f t="shared" si="9"/>
        <v>W23-1R-520L-XX</v>
      </c>
      <c r="B615" t="s">
        <v>14</v>
      </c>
      <c r="C615" t="s">
        <v>631</v>
      </c>
      <c r="D615" t="s">
        <v>16</v>
      </c>
      <c r="E615" t="s">
        <v>632</v>
      </c>
      <c r="F615" t="s">
        <v>18</v>
      </c>
      <c r="G615" t="s">
        <v>19</v>
      </c>
      <c r="H615">
        <v>0</v>
      </c>
      <c r="I615">
        <v>680</v>
      </c>
      <c r="J615">
        <v>4220</v>
      </c>
      <c r="K615">
        <v>2869600</v>
      </c>
      <c r="L615">
        <v>0</v>
      </c>
      <c r="M615">
        <v>2869600</v>
      </c>
      <c r="N615" t="s">
        <v>633</v>
      </c>
      <c r="O615" t="s">
        <v>21</v>
      </c>
    </row>
    <row r="616" spans="1:15" x14ac:dyDescent="0.3">
      <c r="A616" t="str">
        <f t="shared" si="9"/>
        <v>W23-1R-520L-XX</v>
      </c>
      <c r="B616" t="s">
        <v>14</v>
      </c>
      <c r="C616" t="s">
        <v>631</v>
      </c>
      <c r="D616" t="s">
        <v>16</v>
      </c>
      <c r="E616" t="s">
        <v>632</v>
      </c>
      <c r="F616" t="s">
        <v>18</v>
      </c>
      <c r="G616" t="s">
        <v>111</v>
      </c>
      <c r="H616">
        <v>0</v>
      </c>
      <c r="I616">
        <v>690</v>
      </c>
      <c r="J616">
        <v>4220</v>
      </c>
      <c r="K616">
        <v>2911800</v>
      </c>
      <c r="L616">
        <v>0</v>
      </c>
      <c r="M616">
        <v>2911800</v>
      </c>
      <c r="N616" t="s">
        <v>633</v>
      </c>
      <c r="O616" t="s">
        <v>21</v>
      </c>
    </row>
    <row r="617" spans="1:15" x14ac:dyDescent="0.3">
      <c r="A617" t="str">
        <f t="shared" si="9"/>
        <v>W23-1R-520R-XX</v>
      </c>
      <c r="B617" t="s">
        <v>14</v>
      </c>
      <c r="C617" t="s">
        <v>634</v>
      </c>
      <c r="D617" t="s">
        <v>16</v>
      </c>
      <c r="E617" t="s">
        <v>635</v>
      </c>
      <c r="F617" t="s">
        <v>18</v>
      </c>
      <c r="G617" t="s">
        <v>111</v>
      </c>
      <c r="H617">
        <v>0</v>
      </c>
      <c r="I617">
        <v>690</v>
      </c>
      <c r="J617">
        <v>4220</v>
      </c>
      <c r="K617">
        <v>2911800</v>
      </c>
      <c r="L617">
        <v>0</v>
      </c>
      <c r="M617">
        <v>2911800</v>
      </c>
      <c r="N617" t="s">
        <v>636</v>
      </c>
      <c r="O617" t="s">
        <v>21</v>
      </c>
    </row>
    <row r="618" spans="1:15" x14ac:dyDescent="0.3">
      <c r="A618" t="str">
        <f t="shared" si="9"/>
        <v>W23-1R-520R-XX</v>
      </c>
      <c r="B618" t="s">
        <v>14</v>
      </c>
      <c r="C618" t="s">
        <v>634</v>
      </c>
      <c r="D618" t="s">
        <v>16</v>
      </c>
      <c r="E618" t="s">
        <v>635</v>
      </c>
      <c r="F618" t="s">
        <v>18</v>
      </c>
      <c r="G618" t="s">
        <v>22</v>
      </c>
      <c r="H618">
        <v>0</v>
      </c>
      <c r="I618">
        <v>60</v>
      </c>
      <c r="J618">
        <v>4310</v>
      </c>
      <c r="K618">
        <v>258600</v>
      </c>
      <c r="L618">
        <v>0</v>
      </c>
      <c r="M618">
        <v>258600</v>
      </c>
      <c r="N618" t="s">
        <v>636</v>
      </c>
      <c r="O618" t="s">
        <v>21</v>
      </c>
    </row>
    <row r="619" spans="1:15" x14ac:dyDescent="0.3">
      <c r="A619" t="str">
        <f t="shared" si="9"/>
        <v>W23-1R-520R-XX</v>
      </c>
      <c r="B619" t="s">
        <v>14</v>
      </c>
      <c r="C619" t="s">
        <v>634</v>
      </c>
      <c r="D619" t="s">
        <v>16</v>
      </c>
      <c r="E619" t="s">
        <v>635</v>
      </c>
      <c r="F619" t="s">
        <v>18</v>
      </c>
      <c r="G619" t="s">
        <v>22</v>
      </c>
      <c r="H619">
        <v>0</v>
      </c>
      <c r="I619">
        <v>60</v>
      </c>
      <c r="J619">
        <v>4220</v>
      </c>
      <c r="K619">
        <v>253200</v>
      </c>
      <c r="L619">
        <v>0</v>
      </c>
      <c r="M619">
        <v>253200</v>
      </c>
      <c r="N619" t="s">
        <v>636</v>
      </c>
      <c r="O619" t="s">
        <v>21</v>
      </c>
    </row>
    <row r="620" spans="1:15" x14ac:dyDescent="0.3">
      <c r="A620" t="str">
        <f t="shared" si="9"/>
        <v>W23-1R-520R-XX</v>
      </c>
      <c r="B620" t="s">
        <v>14</v>
      </c>
      <c r="C620" t="s">
        <v>634</v>
      </c>
      <c r="D620" t="s">
        <v>16</v>
      </c>
      <c r="E620" t="s">
        <v>635</v>
      </c>
      <c r="F620" t="s">
        <v>18</v>
      </c>
      <c r="G620" t="s">
        <v>111</v>
      </c>
      <c r="H620">
        <v>0</v>
      </c>
      <c r="I620">
        <v>0</v>
      </c>
      <c r="J620">
        <v>4310</v>
      </c>
      <c r="K620">
        <v>0</v>
      </c>
      <c r="L620">
        <v>0</v>
      </c>
      <c r="M620">
        <v>0</v>
      </c>
      <c r="N620" t="s">
        <v>636</v>
      </c>
      <c r="O620" t="s">
        <v>21</v>
      </c>
    </row>
    <row r="621" spans="1:15" x14ac:dyDescent="0.3">
      <c r="A621" t="str">
        <f t="shared" si="9"/>
        <v>W23-1R-520R-XX</v>
      </c>
      <c r="B621" t="s">
        <v>14</v>
      </c>
      <c r="C621" t="s">
        <v>634</v>
      </c>
      <c r="D621" t="s">
        <v>16</v>
      </c>
      <c r="E621" t="s">
        <v>635</v>
      </c>
      <c r="F621" t="s">
        <v>18</v>
      </c>
      <c r="G621" t="s">
        <v>19</v>
      </c>
      <c r="H621">
        <v>0</v>
      </c>
      <c r="I621">
        <v>680</v>
      </c>
      <c r="J621">
        <v>4220</v>
      </c>
      <c r="K621">
        <v>2869600</v>
      </c>
      <c r="L621">
        <v>0</v>
      </c>
      <c r="M621">
        <v>2869600</v>
      </c>
      <c r="N621" t="s">
        <v>636</v>
      </c>
      <c r="O621" t="s">
        <v>21</v>
      </c>
    </row>
    <row r="622" spans="1:15" x14ac:dyDescent="0.3">
      <c r="A622" t="str">
        <f t="shared" si="9"/>
        <v>W23-1R-521L-XX</v>
      </c>
      <c r="B622" t="s">
        <v>14</v>
      </c>
      <c r="C622" t="s">
        <v>637</v>
      </c>
      <c r="D622" t="s">
        <v>16</v>
      </c>
      <c r="E622" t="s">
        <v>638</v>
      </c>
      <c r="F622" t="s">
        <v>18</v>
      </c>
      <c r="G622" t="s">
        <v>19</v>
      </c>
      <c r="H622">
        <v>0</v>
      </c>
      <c r="I622">
        <v>1200</v>
      </c>
      <c r="J622">
        <v>3510</v>
      </c>
      <c r="K622">
        <v>4212000</v>
      </c>
      <c r="L622">
        <v>0</v>
      </c>
      <c r="M622">
        <v>4212000</v>
      </c>
      <c r="N622" t="s">
        <v>639</v>
      </c>
      <c r="O622" t="s">
        <v>21</v>
      </c>
    </row>
    <row r="623" spans="1:15" x14ac:dyDescent="0.3">
      <c r="A623" t="str">
        <f t="shared" si="9"/>
        <v>W23-1R-521L-XX</v>
      </c>
      <c r="B623" t="s">
        <v>14</v>
      </c>
      <c r="C623" t="s">
        <v>637</v>
      </c>
      <c r="D623" t="s">
        <v>16</v>
      </c>
      <c r="E623" t="s">
        <v>638</v>
      </c>
      <c r="F623" t="s">
        <v>18</v>
      </c>
      <c r="G623" t="s">
        <v>174</v>
      </c>
      <c r="H623">
        <v>0</v>
      </c>
      <c r="I623">
        <v>150</v>
      </c>
      <c r="J623">
        <v>3510</v>
      </c>
      <c r="K623">
        <v>526500</v>
      </c>
      <c r="L623">
        <v>0</v>
      </c>
      <c r="M623">
        <v>526500</v>
      </c>
      <c r="N623" t="s">
        <v>639</v>
      </c>
      <c r="O623" t="s">
        <v>21</v>
      </c>
    </row>
    <row r="624" spans="1:15" x14ac:dyDescent="0.3">
      <c r="A624" t="str">
        <f t="shared" si="9"/>
        <v>W23-1R-521L-XX</v>
      </c>
      <c r="B624" t="s">
        <v>14</v>
      </c>
      <c r="C624" t="s">
        <v>637</v>
      </c>
      <c r="D624" t="s">
        <v>16</v>
      </c>
      <c r="E624" t="s">
        <v>638</v>
      </c>
      <c r="F624" t="s">
        <v>18</v>
      </c>
      <c r="G624" t="s">
        <v>19</v>
      </c>
      <c r="H624">
        <v>0</v>
      </c>
      <c r="I624">
        <v>0</v>
      </c>
      <c r="J624">
        <v>3580</v>
      </c>
      <c r="K624">
        <v>0</v>
      </c>
      <c r="L624">
        <v>0</v>
      </c>
      <c r="M624">
        <v>0</v>
      </c>
      <c r="N624" t="s">
        <v>639</v>
      </c>
      <c r="O624" t="s">
        <v>21</v>
      </c>
    </row>
    <row r="625" spans="1:15" x14ac:dyDescent="0.3">
      <c r="A625" t="str">
        <f t="shared" si="9"/>
        <v>W23-1R-521L-XX</v>
      </c>
      <c r="B625" t="s">
        <v>14</v>
      </c>
      <c r="C625" t="s">
        <v>637</v>
      </c>
      <c r="D625" t="s">
        <v>16</v>
      </c>
      <c r="E625" t="s">
        <v>638</v>
      </c>
      <c r="F625" t="s">
        <v>18</v>
      </c>
      <c r="G625" t="s">
        <v>49</v>
      </c>
      <c r="H625">
        <v>0</v>
      </c>
      <c r="I625">
        <v>1080</v>
      </c>
      <c r="J625">
        <v>3510</v>
      </c>
      <c r="K625">
        <v>3790800</v>
      </c>
      <c r="L625">
        <v>0</v>
      </c>
      <c r="M625">
        <v>3790800</v>
      </c>
      <c r="N625" t="s">
        <v>639</v>
      </c>
      <c r="O625" t="s">
        <v>21</v>
      </c>
    </row>
    <row r="626" spans="1:15" x14ac:dyDescent="0.3">
      <c r="A626" t="str">
        <f t="shared" si="9"/>
        <v>W23-1R-521L-XX</v>
      </c>
      <c r="B626" t="s">
        <v>14</v>
      </c>
      <c r="C626" t="s">
        <v>637</v>
      </c>
      <c r="D626" t="s">
        <v>16</v>
      </c>
      <c r="E626" t="s">
        <v>638</v>
      </c>
      <c r="F626" t="s">
        <v>18</v>
      </c>
      <c r="G626" t="s">
        <v>111</v>
      </c>
      <c r="H626">
        <v>0</v>
      </c>
      <c r="I626">
        <v>360</v>
      </c>
      <c r="J626">
        <v>3510</v>
      </c>
      <c r="K626">
        <v>1263600</v>
      </c>
      <c r="L626">
        <v>0</v>
      </c>
      <c r="M626">
        <v>1263600</v>
      </c>
      <c r="N626" t="s">
        <v>639</v>
      </c>
      <c r="O626" t="s">
        <v>21</v>
      </c>
    </row>
    <row r="627" spans="1:15" x14ac:dyDescent="0.3">
      <c r="A627" t="str">
        <f t="shared" si="9"/>
        <v>W23-1R-521L-XX</v>
      </c>
      <c r="B627" t="s">
        <v>14</v>
      </c>
      <c r="C627" t="s">
        <v>637</v>
      </c>
      <c r="D627" t="s">
        <v>16</v>
      </c>
      <c r="E627" t="s">
        <v>638</v>
      </c>
      <c r="F627" t="s">
        <v>18</v>
      </c>
      <c r="G627" t="s">
        <v>174</v>
      </c>
      <c r="H627">
        <v>0</v>
      </c>
      <c r="I627">
        <v>0</v>
      </c>
      <c r="J627">
        <v>3580</v>
      </c>
      <c r="K627">
        <v>0</v>
      </c>
      <c r="L627">
        <v>0</v>
      </c>
      <c r="M627">
        <v>0</v>
      </c>
      <c r="N627" t="s">
        <v>639</v>
      </c>
      <c r="O627" t="s">
        <v>21</v>
      </c>
    </row>
    <row r="628" spans="1:15" x14ac:dyDescent="0.3">
      <c r="A628" t="str">
        <f t="shared" si="9"/>
        <v>W23-1R-521L-XX</v>
      </c>
      <c r="B628" t="s">
        <v>14</v>
      </c>
      <c r="C628" t="s">
        <v>637</v>
      </c>
      <c r="D628" t="s">
        <v>16</v>
      </c>
      <c r="E628" t="s">
        <v>638</v>
      </c>
      <c r="F628" t="s">
        <v>18</v>
      </c>
      <c r="G628" t="s">
        <v>49</v>
      </c>
      <c r="H628">
        <v>0</v>
      </c>
      <c r="I628">
        <v>0</v>
      </c>
      <c r="J628">
        <v>3580</v>
      </c>
      <c r="K628">
        <v>0</v>
      </c>
      <c r="L628">
        <v>0</v>
      </c>
      <c r="M628">
        <v>0</v>
      </c>
      <c r="N628" t="s">
        <v>639</v>
      </c>
      <c r="O628" t="s">
        <v>21</v>
      </c>
    </row>
    <row r="629" spans="1:15" x14ac:dyDescent="0.3">
      <c r="A629" t="str">
        <f t="shared" si="9"/>
        <v>W23-1R-521L-XX</v>
      </c>
      <c r="B629" t="s">
        <v>14</v>
      </c>
      <c r="C629" t="s">
        <v>637</v>
      </c>
      <c r="D629" t="s">
        <v>16</v>
      </c>
      <c r="E629" t="s">
        <v>638</v>
      </c>
      <c r="F629" t="s">
        <v>18</v>
      </c>
      <c r="G629" t="s">
        <v>35</v>
      </c>
      <c r="H629">
        <v>0</v>
      </c>
      <c r="I629">
        <v>0</v>
      </c>
      <c r="J629">
        <v>3580</v>
      </c>
      <c r="K629">
        <v>0</v>
      </c>
      <c r="L629">
        <v>0</v>
      </c>
      <c r="M629">
        <v>0</v>
      </c>
      <c r="N629" t="s">
        <v>639</v>
      </c>
      <c r="O629" t="s">
        <v>21</v>
      </c>
    </row>
    <row r="630" spans="1:15" x14ac:dyDescent="0.3">
      <c r="A630" t="str">
        <f t="shared" si="9"/>
        <v>W23-1R-521L-XX</v>
      </c>
      <c r="B630" t="s">
        <v>14</v>
      </c>
      <c r="C630" t="s">
        <v>637</v>
      </c>
      <c r="D630" t="s">
        <v>16</v>
      </c>
      <c r="E630" t="s">
        <v>638</v>
      </c>
      <c r="F630" t="s">
        <v>18</v>
      </c>
      <c r="G630" t="s">
        <v>35</v>
      </c>
      <c r="H630">
        <v>0</v>
      </c>
      <c r="I630">
        <v>339</v>
      </c>
      <c r="J630">
        <v>3510</v>
      </c>
      <c r="K630">
        <v>1189890</v>
      </c>
      <c r="L630">
        <v>0</v>
      </c>
      <c r="M630">
        <v>1189890</v>
      </c>
      <c r="N630" t="s">
        <v>639</v>
      </c>
      <c r="O630" t="s">
        <v>21</v>
      </c>
    </row>
    <row r="631" spans="1:15" x14ac:dyDescent="0.3">
      <c r="A631" t="str">
        <f t="shared" si="9"/>
        <v>W23-1R-521L-XX</v>
      </c>
      <c r="B631" t="s">
        <v>14</v>
      </c>
      <c r="C631" t="s">
        <v>637</v>
      </c>
      <c r="D631" t="s">
        <v>16</v>
      </c>
      <c r="E631" t="s">
        <v>638</v>
      </c>
      <c r="F631" t="s">
        <v>18</v>
      </c>
      <c r="G631" t="s">
        <v>111</v>
      </c>
      <c r="H631">
        <v>0</v>
      </c>
      <c r="I631">
        <v>0</v>
      </c>
      <c r="J631">
        <v>3580</v>
      </c>
      <c r="K631">
        <v>0</v>
      </c>
      <c r="L631">
        <v>0</v>
      </c>
      <c r="M631">
        <v>0</v>
      </c>
      <c r="N631" t="s">
        <v>639</v>
      </c>
      <c r="O631" t="s">
        <v>21</v>
      </c>
    </row>
    <row r="632" spans="1:15" x14ac:dyDescent="0.3">
      <c r="A632" t="str">
        <f t="shared" si="9"/>
        <v>W23-1R-521R-XX</v>
      </c>
      <c r="B632" t="s">
        <v>14</v>
      </c>
      <c r="C632" t="s">
        <v>640</v>
      </c>
      <c r="D632" t="s">
        <v>16</v>
      </c>
      <c r="E632" t="s">
        <v>641</v>
      </c>
      <c r="F632" t="s">
        <v>18</v>
      </c>
      <c r="G632" t="s">
        <v>35</v>
      </c>
      <c r="H632">
        <v>0</v>
      </c>
      <c r="I632">
        <v>28</v>
      </c>
      <c r="J632">
        <v>3510</v>
      </c>
      <c r="K632">
        <v>98280</v>
      </c>
      <c r="L632">
        <v>0</v>
      </c>
      <c r="M632">
        <v>98280</v>
      </c>
      <c r="N632" t="s">
        <v>642</v>
      </c>
      <c r="O632" t="s">
        <v>21</v>
      </c>
    </row>
    <row r="633" spans="1:15" x14ac:dyDescent="0.3">
      <c r="A633" t="str">
        <f t="shared" si="9"/>
        <v>W23-1R-521R-XX</v>
      </c>
      <c r="B633" t="s">
        <v>14</v>
      </c>
      <c r="C633" t="s">
        <v>640</v>
      </c>
      <c r="D633" t="s">
        <v>16</v>
      </c>
      <c r="E633" t="s">
        <v>641</v>
      </c>
      <c r="F633" t="s">
        <v>18</v>
      </c>
      <c r="G633" t="s">
        <v>111</v>
      </c>
      <c r="H633">
        <v>0</v>
      </c>
      <c r="I633">
        <v>0</v>
      </c>
      <c r="J633">
        <v>3580</v>
      </c>
      <c r="K633">
        <v>0</v>
      </c>
      <c r="L633">
        <v>0</v>
      </c>
      <c r="M633">
        <v>0</v>
      </c>
      <c r="N633" t="s">
        <v>642</v>
      </c>
      <c r="O633" t="s">
        <v>21</v>
      </c>
    </row>
    <row r="634" spans="1:15" x14ac:dyDescent="0.3">
      <c r="A634" t="str">
        <f t="shared" si="9"/>
        <v>W23-1R-521R-XX</v>
      </c>
      <c r="B634" t="s">
        <v>14</v>
      </c>
      <c r="C634" t="s">
        <v>640</v>
      </c>
      <c r="D634" t="s">
        <v>16</v>
      </c>
      <c r="E634" t="s">
        <v>641</v>
      </c>
      <c r="F634" t="s">
        <v>18</v>
      </c>
      <c r="G634" t="s">
        <v>35</v>
      </c>
      <c r="H634">
        <v>0</v>
      </c>
      <c r="I634">
        <v>0</v>
      </c>
      <c r="J634">
        <v>3580</v>
      </c>
      <c r="K634">
        <v>0</v>
      </c>
      <c r="L634">
        <v>0</v>
      </c>
      <c r="M634">
        <v>0</v>
      </c>
      <c r="N634" t="s">
        <v>642</v>
      </c>
      <c r="O634" t="s">
        <v>21</v>
      </c>
    </row>
    <row r="635" spans="1:15" x14ac:dyDescent="0.3">
      <c r="A635" t="str">
        <f t="shared" si="9"/>
        <v>W23-1R-521R-XX</v>
      </c>
      <c r="B635" t="s">
        <v>14</v>
      </c>
      <c r="C635" t="s">
        <v>640</v>
      </c>
      <c r="D635" t="s">
        <v>16</v>
      </c>
      <c r="E635" t="s">
        <v>641</v>
      </c>
      <c r="F635" t="s">
        <v>18</v>
      </c>
      <c r="G635" t="s">
        <v>19</v>
      </c>
      <c r="H635">
        <v>0</v>
      </c>
      <c r="I635">
        <v>0</v>
      </c>
      <c r="J635">
        <v>3580</v>
      </c>
      <c r="K635">
        <v>0</v>
      </c>
      <c r="L635">
        <v>0</v>
      </c>
      <c r="M635">
        <v>0</v>
      </c>
      <c r="N635" t="s">
        <v>642</v>
      </c>
      <c r="O635" t="s">
        <v>21</v>
      </c>
    </row>
    <row r="636" spans="1:15" x14ac:dyDescent="0.3">
      <c r="A636" t="str">
        <f t="shared" si="9"/>
        <v>W23-1R-521R-XX</v>
      </c>
      <c r="B636" t="s">
        <v>14</v>
      </c>
      <c r="C636" t="s">
        <v>640</v>
      </c>
      <c r="D636" t="s">
        <v>16</v>
      </c>
      <c r="E636" t="s">
        <v>641</v>
      </c>
      <c r="F636" t="s">
        <v>18</v>
      </c>
      <c r="G636" t="s">
        <v>19</v>
      </c>
      <c r="H636">
        <v>0</v>
      </c>
      <c r="I636">
        <v>1200</v>
      </c>
      <c r="J636">
        <v>3510</v>
      </c>
      <c r="K636">
        <v>4212000</v>
      </c>
      <c r="L636">
        <v>0</v>
      </c>
      <c r="M636">
        <v>4212000</v>
      </c>
      <c r="N636" t="s">
        <v>642</v>
      </c>
      <c r="O636" t="s">
        <v>21</v>
      </c>
    </row>
    <row r="637" spans="1:15" x14ac:dyDescent="0.3">
      <c r="A637" t="str">
        <f t="shared" si="9"/>
        <v>W23-1R-521R-XX</v>
      </c>
      <c r="B637" t="s">
        <v>14</v>
      </c>
      <c r="C637" t="s">
        <v>640</v>
      </c>
      <c r="D637" t="s">
        <v>16</v>
      </c>
      <c r="E637" t="s">
        <v>641</v>
      </c>
      <c r="F637" t="s">
        <v>18</v>
      </c>
      <c r="G637" t="s">
        <v>49</v>
      </c>
      <c r="H637">
        <v>0</v>
      </c>
      <c r="I637">
        <v>0</v>
      </c>
      <c r="J637">
        <v>3580</v>
      </c>
      <c r="K637">
        <v>0</v>
      </c>
      <c r="L637">
        <v>0</v>
      </c>
      <c r="M637">
        <v>0</v>
      </c>
      <c r="N637" t="s">
        <v>642</v>
      </c>
      <c r="O637" t="s">
        <v>21</v>
      </c>
    </row>
    <row r="638" spans="1:15" x14ac:dyDescent="0.3">
      <c r="A638" t="str">
        <f t="shared" si="9"/>
        <v>W23-1R-521R-XX</v>
      </c>
      <c r="B638" t="s">
        <v>14</v>
      </c>
      <c r="C638" t="s">
        <v>640</v>
      </c>
      <c r="D638" t="s">
        <v>16</v>
      </c>
      <c r="E638" t="s">
        <v>641</v>
      </c>
      <c r="F638" t="s">
        <v>18</v>
      </c>
      <c r="G638" t="s">
        <v>174</v>
      </c>
      <c r="H638">
        <v>0</v>
      </c>
      <c r="I638">
        <v>0</v>
      </c>
      <c r="J638">
        <v>3580</v>
      </c>
      <c r="K638">
        <v>0</v>
      </c>
      <c r="L638">
        <v>0</v>
      </c>
      <c r="M638">
        <v>0</v>
      </c>
      <c r="N638" t="s">
        <v>642</v>
      </c>
      <c r="O638" t="s">
        <v>21</v>
      </c>
    </row>
    <row r="639" spans="1:15" x14ac:dyDescent="0.3">
      <c r="A639" t="str">
        <f t="shared" si="9"/>
        <v>W23-1R-521R-XX</v>
      </c>
      <c r="B639" t="s">
        <v>14</v>
      </c>
      <c r="C639" t="s">
        <v>640</v>
      </c>
      <c r="D639" t="s">
        <v>16</v>
      </c>
      <c r="E639" t="s">
        <v>641</v>
      </c>
      <c r="F639" t="s">
        <v>18</v>
      </c>
      <c r="G639" t="s">
        <v>174</v>
      </c>
      <c r="H639">
        <v>0</v>
      </c>
      <c r="I639">
        <v>150</v>
      </c>
      <c r="J639">
        <v>3510</v>
      </c>
      <c r="K639">
        <v>526500</v>
      </c>
      <c r="L639">
        <v>0</v>
      </c>
      <c r="M639">
        <v>526500</v>
      </c>
      <c r="N639" t="s">
        <v>642</v>
      </c>
      <c r="O639" t="s">
        <v>21</v>
      </c>
    </row>
    <row r="640" spans="1:15" x14ac:dyDescent="0.3">
      <c r="A640" t="str">
        <f t="shared" si="9"/>
        <v>W23-1R-521R-XX</v>
      </c>
      <c r="B640" t="s">
        <v>14</v>
      </c>
      <c r="C640" t="s">
        <v>640</v>
      </c>
      <c r="D640" t="s">
        <v>16</v>
      </c>
      <c r="E640" t="s">
        <v>641</v>
      </c>
      <c r="F640" t="s">
        <v>18</v>
      </c>
      <c r="G640" t="s">
        <v>111</v>
      </c>
      <c r="H640">
        <v>0</v>
      </c>
      <c r="I640">
        <v>360</v>
      </c>
      <c r="J640">
        <v>3510</v>
      </c>
      <c r="K640">
        <v>1263600</v>
      </c>
      <c r="L640">
        <v>0</v>
      </c>
      <c r="M640">
        <v>1263600</v>
      </c>
      <c r="N640" t="s">
        <v>642</v>
      </c>
      <c r="O640" t="s">
        <v>21</v>
      </c>
    </row>
    <row r="641" spans="1:15" x14ac:dyDescent="0.3">
      <c r="A641" t="str">
        <f t="shared" si="9"/>
        <v>W23-1R-521R-XX</v>
      </c>
      <c r="B641" t="s">
        <v>14</v>
      </c>
      <c r="C641" t="s">
        <v>640</v>
      </c>
      <c r="D641" t="s">
        <v>16</v>
      </c>
      <c r="E641" t="s">
        <v>641</v>
      </c>
      <c r="F641" t="s">
        <v>18</v>
      </c>
      <c r="G641" t="s">
        <v>49</v>
      </c>
      <c r="H641">
        <v>0</v>
      </c>
      <c r="I641">
        <v>1080</v>
      </c>
      <c r="J641">
        <v>3510</v>
      </c>
      <c r="K641">
        <v>3790800</v>
      </c>
      <c r="L641">
        <v>0</v>
      </c>
      <c r="M641">
        <v>3790800</v>
      </c>
      <c r="N641" t="s">
        <v>642</v>
      </c>
      <c r="O641" t="s">
        <v>21</v>
      </c>
    </row>
    <row r="642" spans="1:15" x14ac:dyDescent="0.3">
      <c r="A642" t="str">
        <f t="shared" si="9"/>
        <v>W23-1R-522L-XX</v>
      </c>
      <c r="B642" t="s">
        <v>14</v>
      </c>
      <c r="C642" t="s">
        <v>643</v>
      </c>
      <c r="D642" t="s">
        <v>16</v>
      </c>
      <c r="E642" t="s">
        <v>644</v>
      </c>
      <c r="F642" t="s">
        <v>18</v>
      </c>
      <c r="G642" t="s">
        <v>111</v>
      </c>
      <c r="H642">
        <v>0</v>
      </c>
      <c r="I642">
        <v>0</v>
      </c>
      <c r="J642">
        <v>3690</v>
      </c>
      <c r="K642">
        <v>0</v>
      </c>
      <c r="L642">
        <v>0</v>
      </c>
      <c r="M642">
        <v>0</v>
      </c>
      <c r="N642" t="s">
        <v>645</v>
      </c>
      <c r="O642" t="s">
        <v>21</v>
      </c>
    </row>
    <row r="643" spans="1:15" x14ac:dyDescent="0.3">
      <c r="A643" t="str">
        <f t="shared" ref="A643:A706" si="10">C643&amp;"-"&amp;D643</f>
        <v>W23-1R-522L-XX</v>
      </c>
      <c r="B643" t="s">
        <v>14</v>
      </c>
      <c r="C643" t="s">
        <v>643</v>
      </c>
      <c r="D643" t="s">
        <v>16</v>
      </c>
      <c r="E643" t="s">
        <v>644</v>
      </c>
      <c r="F643" t="s">
        <v>18</v>
      </c>
      <c r="G643" t="s">
        <v>111</v>
      </c>
      <c r="H643">
        <v>0</v>
      </c>
      <c r="I643">
        <v>150</v>
      </c>
      <c r="J643">
        <v>3620</v>
      </c>
      <c r="K643">
        <v>543000</v>
      </c>
      <c r="L643">
        <v>0</v>
      </c>
      <c r="M643">
        <v>543000</v>
      </c>
      <c r="N643" t="s">
        <v>645</v>
      </c>
      <c r="O643" t="s">
        <v>21</v>
      </c>
    </row>
    <row r="644" spans="1:15" x14ac:dyDescent="0.3">
      <c r="A644" t="str">
        <f t="shared" si="10"/>
        <v>W23-1R-522L-XX</v>
      </c>
      <c r="B644" t="s">
        <v>14</v>
      </c>
      <c r="C644" t="s">
        <v>643</v>
      </c>
      <c r="D644" t="s">
        <v>16</v>
      </c>
      <c r="E644" t="s">
        <v>644</v>
      </c>
      <c r="F644" t="s">
        <v>18</v>
      </c>
      <c r="G644" t="s">
        <v>49</v>
      </c>
      <c r="H644">
        <v>0</v>
      </c>
      <c r="I644">
        <v>6090</v>
      </c>
      <c r="J644">
        <v>3620</v>
      </c>
      <c r="K644">
        <v>22045800</v>
      </c>
      <c r="L644">
        <v>0</v>
      </c>
      <c r="M644">
        <v>22045800</v>
      </c>
      <c r="N644" t="s">
        <v>645</v>
      </c>
      <c r="O644" t="s">
        <v>21</v>
      </c>
    </row>
    <row r="645" spans="1:15" x14ac:dyDescent="0.3">
      <c r="A645" t="str">
        <f t="shared" si="10"/>
        <v>W23-1R-522L-XX</v>
      </c>
      <c r="B645" t="s">
        <v>14</v>
      </c>
      <c r="C645" t="s">
        <v>643</v>
      </c>
      <c r="D645" t="s">
        <v>16</v>
      </c>
      <c r="E645" t="s">
        <v>644</v>
      </c>
      <c r="F645" t="s">
        <v>18</v>
      </c>
      <c r="G645" t="s">
        <v>49</v>
      </c>
      <c r="H645">
        <v>0</v>
      </c>
      <c r="I645">
        <v>0</v>
      </c>
      <c r="J645">
        <v>3690</v>
      </c>
      <c r="K645">
        <v>0</v>
      </c>
      <c r="L645">
        <v>0</v>
      </c>
      <c r="M645">
        <v>0</v>
      </c>
      <c r="N645" t="s">
        <v>645</v>
      </c>
      <c r="O645" t="s">
        <v>21</v>
      </c>
    </row>
    <row r="646" spans="1:15" x14ac:dyDescent="0.3">
      <c r="A646" t="str">
        <f t="shared" si="10"/>
        <v>W23-1R-522L-XX</v>
      </c>
      <c r="B646" t="s">
        <v>14</v>
      </c>
      <c r="C646" t="s">
        <v>643</v>
      </c>
      <c r="D646" t="s">
        <v>16</v>
      </c>
      <c r="E646" t="s">
        <v>644</v>
      </c>
      <c r="F646" t="s">
        <v>18</v>
      </c>
      <c r="G646" t="s">
        <v>210</v>
      </c>
      <c r="H646">
        <v>0</v>
      </c>
      <c r="I646">
        <v>0</v>
      </c>
      <c r="J646">
        <v>3620</v>
      </c>
      <c r="K646">
        <v>0</v>
      </c>
      <c r="L646">
        <v>0</v>
      </c>
      <c r="M646">
        <v>0</v>
      </c>
      <c r="N646" t="s">
        <v>645</v>
      </c>
      <c r="O646" t="s">
        <v>21</v>
      </c>
    </row>
    <row r="647" spans="1:15" x14ac:dyDescent="0.3">
      <c r="A647" t="str">
        <f t="shared" si="10"/>
        <v>W23-1R-522L-XX</v>
      </c>
      <c r="B647" t="s">
        <v>14</v>
      </c>
      <c r="C647" t="s">
        <v>643</v>
      </c>
      <c r="D647" t="s">
        <v>16</v>
      </c>
      <c r="E647" t="s">
        <v>644</v>
      </c>
      <c r="F647" t="s">
        <v>18</v>
      </c>
      <c r="G647" t="s">
        <v>19</v>
      </c>
      <c r="H647">
        <v>0</v>
      </c>
      <c r="I647">
        <v>600</v>
      </c>
      <c r="J647">
        <v>3620</v>
      </c>
      <c r="K647">
        <v>2172000</v>
      </c>
      <c r="L647">
        <v>0</v>
      </c>
      <c r="M647">
        <v>2172000</v>
      </c>
      <c r="N647" t="s">
        <v>645</v>
      </c>
      <c r="O647" t="s">
        <v>21</v>
      </c>
    </row>
    <row r="648" spans="1:15" x14ac:dyDescent="0.3">
      <c r="A648" t="str">
        <f t="shared" si="10"/>
        <v>W23-1R-522L-XX</v>
      </c>
      <c r="B648" t="s">
        <v>14</v>
      </c>
      <c r="C648" t="s">
        <v>643</v>
      </c>
      <c r="D648" t="s">
        <v>16</v>
      </c>
      <c r="E648" t="s">
        <v>644</v>
      </c>
      <c r="F648" t="s">
        <v>18</v>
      </c>
      <c r="G648" t="s">
        <v>19</v>
      </c>
      <c r="H648">
        <v>0</v>
      </c>
      <c r="I648">
        <v>0</v>
      </c>
      <c r="J648">
        <v>3690</v>
      </c>
      <c r="K648">
        <v>0</v>
      </c>
      <c r="L648">
        <v>0</v>
      </c>
      <c r="M648">
        <v>0</v>
      </c>
      <c r="N648" t="s">
        <v>645</v>
      </c>
      <c r="O648" t="s">
        <v>21</v>
      </c>
    </row>
    <row r="649" spans="1:15" x14ac:dyDescent="0.3">
      <c r="A649" t="str">
        <f t="shared" si="10"/>
        <v>W23-1R-522R-XX</v>
      </c>
      <c r="B649" t="s">
        <v>14</v>
      </c>
      <c r="C649" t="s">
        <v>646</v>
      </c>
      <c r="D649" t="s">
        <v>16</v>
      </c>
      <c r="E649" t="s">
        <v>647</v>
      </c>
      <c r="F649" t="s">
        <v>18</v>
      </c>
      <c r="G649" t="s">
        <v>19</v>
      </c>
      <c r="H649">
        <v>0</v>
      </c>
      <c r="I649">
        <v>0</v>
      </c>
      <c r="J649">
        <v>3690</v>
      </c>
      <c r="K649">
        <v>0</v>
      </c>
      <c r="L649">
        <v>0</v>
      </c>
      <c r="M649">
        <v>0</v>
      </c>
      <c r="N649" t="s">
        <v>648</v>
      </c>
      <c r="O649" t="s">
        <v>21</v>
      </c>
    </row>
    <row r="650" spans="1:15" x14ac:dyDescent="0.3">
      <c r="A650" t="str">
        <f t="shared" si="10"/>
        <v>W23-1R-522R-XX</v>
      </c>
      <c r="B650" t="s">
        <v>14</v>
      </c>
      <c r="C650" t="s">
        <v>646</v>
      </c>
      <c r="D650" t="s">
        <v>16</v>
      </c>
      <c r="E650" t="s">
        <v>647</v>
      </c>
      <c r="F650" t="s">
        <v>18</v>
      </c>
      <c r="G650" t="s">
        <v>49</v>
      </c>
      <c r="H650">
        <v>0</v>
      </c>
      <c r="I650">
        <v>0</v>
      </c>
      <c r="J650">
        <v>3690</v>
      </c>
      <c r="K650">
        <v>0</v>
      </c>
      <c r="L650">
        <v>0</v>
      </c>
      <c r="M650">
        <v>0</v>
      </c>
      <c r="N650" t="s">
        <v>648</v>
      </c>
      <c r="O650" t="s">
        <v>21</v>
      </c>
    </row>
    <row r="651" spans="1:15" x14ac:dyDescent="0.3">
      <c r="A651" t="str">
        <f t="shared" si="10"/>
        <v>W23-1R-522R-XX</v>
      </c>
      <c r="B651" t="s">
        <v>14</v>
      </c>
      <c r="C651" t="s">
        <v>646</v>
      </c>
      <c r="D651" t="s">
        <v>16</v>
      </c>
      <c r="E651" t="s">
        <v>647</v>
      </c>
      <c r="F651" t="s">
        <v>18</v>
      </c>
      <c r="G651" t="s">
        <v>49</v>
      </c>
      <c r="H651">
        <v>0</v>
      </c>
      <c r="I651">
        <v>6090</v>
      </c>
      <c r="J651">
        <v>3620</v>
      </c>
      <c r="K651">
        <v>22045800</v>
      </c>
      <c r="L651">
        <v>0</v>
      </c>
      <c r="M651">
        <v>22045800</v>
      </c>
      <c r="N651" t="s">
        <v>648</v>
      </c>
      <c r="O651" t="s">
        <v>21</v>
      </c>
    </row>
    <row r="652" spans="1:15" x14ac:dyDescent="0.3">
      <c r="A652" t="str">
        <f t="shared" si="10"/>
        <v>W23-1R-522R-XX</v>
      </c>
      <c r="B652" t="s">
        <v>14</v>
      </c>
      <c r="C652" t="s">
        <v>646</v>
      </c>
      <c r="D652" t="s">
        <v>16</v>
      </c>
      <c r="E652" t="s">
        <v>647</v>
      </c>
      <c r="F652" t="s">
        <v>18</v>
      </c>
      <c r="G652" t="s">
        <v>210</v>
      </c>
      <c r="H652">
        <v>0</v>
      </c>
      <c r="I652">
        <v>0</v>
      </c>
      <c r="J652">
        <v>3620</v>
      </c>
      <c r="K652">
        <v>0</v>
      </c>
      <c r="L652">
        <v>0</v>
      </c>
      <c r="M652">
        <v>0</v>
      </c>
      <c r="N652" t="s">
        <v>648</v>
      </c>
      <c r="O652" t="s">
        <v>21</v>
      </c>
    </row>
    <row r="653" spans="1:15" x14ac:dyDescent="0.3">
      <c r="A653" t="str">
        <f t="shared" si="10"/>
        <v>W23-1R-522R-XX</v>
      </c>
      <c r="B653" t="s">
        <v>14</v>
      </c>
      <c r="C653" t="s">
        <v>646</v>
      </c>
      <c r="D653" t="s">
        <v>16</v>
      </c>
      <c r="E653" t="s">
        <v>647</v>
      </c>
      <c r="F653" t="s">
        <v>18</v>
      </c>
      <c r="G653" t="s">
        <v>111</v>
      </c>
      <c r="H653">
        <v>0</v>
      </c>
      <c r="I653">
        <v>150</v>
      </c>
      <c r="J653">
        <v>3620</v>
      </c>
      <c r="K653">
        <v>543000</v>
      </c>
      <c r="L653">
        <v>0</v>
      </c>
      <c r="M653">
        <v>543000</v>
      </c>
      <c r="N653" t="s">
        <v>648</v>
      </c>
      <c r="O653" t="s">
        <v>21</v>
      </c>
    </row>
    <row r="654" spans="1:15" x14ac:dyDescent="0.3">
      <c r="A654" t="str">
        <f t="shared" si="10"/>
        <v>W23-1R-522R-XX</v>
      </c>
      <c r="B654" t="s">
        <v>14</v>
      </c>
      <c r="C654" t="s">
        <v>646</v>
      </c>
      <c r="D654" t="s">
        <v>16</v>
      </c>
      <c r="E654" t="s">
        <v>647</v>
      </c>
      <c r="F654" t="s">
        <v>18</v>
      </c>
      <c r="G654" t="s">
        <v>111</v>
      </c>
      <c r="H654">
        <v>0</v>
      </c>
      <c r="I654">
        <v>0</v>
      </c>
      <c r="J654">
        <v>3690</v>
      </c>
      <c r="K654">
        <v>0</v>
      </c>
      <c r="L654">
        <v>0</v>
      </c>
      <c r="M654">
        <v>0</v>
      </c>
      <c r="N654" t="s">
        <v>648</v>
      </c>
      <c r="O654" t="s">
        <v>21</v>
      </c>
    </row>
    <row r="655" spans="1:15" x14ac:dyDescent="0.3">
      <c r="A655" t="str">
        <f t="shared" si="10"/>
        <v>W23-1R-522R-XX</v>
      </c>
      <c r="B655" t="s">
        <v>14</v>
      </c>
      <c r="C655" t="s">
        <v>646</v>
      </c>
      <c r="D655" t="s">
        <v>16</v>
      </c>
      <c r="E655" t="s">
        <v>647</v>
      </c>
      <c r="F655" t="s">
        <v>18</v>
      </c>
      <c r="G655" t="s">
        <v>19</v>
      </c>
      <c r="H655">
        <v>0</v>
      </c>
      <c r="I655">
        <v>600</v>
      </c>
      <c r="J655">
        <v>3620</v>
      </c>
      <c r="K655">
        <v>2172000</v>
      </c>
      <c r="L655">
        <v>0</v>
      </c>
      <c r="M655">
        <v>2172000</v>
      </c>
      <c r="N655" t="s">
        <v>648</v>
      </c>
      <c r="O655" t="s">
        <v>21</v>
      </c>
    </row>
    <row r="656" spans="1:15" x14ac:dyDescent="0.3">
      <c r="A656" t="str">
        <f t="shared" si="10"/>
        <v>W23-1R-523L-XX</v>
      </c>
      <c r="B656" t="s">
        <v>14</v>
      </c>
      <c r="C656" t="s">
        <v>649</v>
      </c>
      <c r="D656" t="s">
        <v>16</v>
      </c>
      <c r="E656" t="s">
        <v>650</v>
      </c>
      <c r="F656" t="s">
        <v>18</v>
      </c>
      <c r="G656" t="s">
        <v>22</v>
      </c>
      <c r="H656">
        <v>0</v>
      </c>
      <c r="I656">
        <v>30</v>
      </c>
      <c r="J656">
        <v>4130</v>
      </c>
      <c r="K656">
        <v>123900</v>
      </c>
      <c r="L656">
        <v>0</v>
      </c>
      <c r="M656">
        <v>123900</v>
      </c>
      <c r="N656" t="s">
        <v>651</v>
      </c>
      <c r="O656" t="s">
        <v>21</v>
      </c>
    </row>
    <row r="657" spans="1:15" x14ac:dyDescent="0.3">
      <c r="A657" t="str">
        <f t="shared" si="10"/>
        <v>W23-1R-523L-XX</v>
      </c>
      <c r="B657" t="s">
        <v>14</v>
      </c>
      <c r="C657" t="s">
        <v>649</v>
      </c>
      <c r="D657" t="s">
        <v>16</v>
      </c>
      <c r="E657" t="s">
        <v>650</v>
      </c>
      <c r="F657" t="s">
        <v>18</v>
      </c>
      <c r="G657" t="s">
        <v>19</v>
      </c>
      <c r="H657">
        <v>0</v>
      </c>
      <c r="I657">
        <v>1680</v>
      </c>
      <c r="J657">
        <v>4050</v>
      </c>
      <c r="K657">
        <v>6804000</v>
      </c>
      <c r="L657">
        <v>0</v>
      </c>
      <c r="M657">
        <v>6804000</v>
      </c>
      <c r="N657" t="s">
        <v>651</v>
      </c>
      <c r="O657" t="s">
        <v>21</v>
      </c>
    </row>
    <row r="658" spans="1:15" x14ac:dyDescent="0.3">
      <c r="A658" t="str">
        <f t="shared" si="10"/>
        <v>W23-1R-523L-XX</v>
      </c>
      <c r="B658" t="s">
        <v>14</v>
      </c>
      <c r="C658" t="s">
        <v>649</v>
      </c>
      <c r="D658" t="s">
        <v>16</v>
      </c>
      <c r="E658" t="s">
        <v>650</v>
      </c>
      <c r="F658" t="s">
        <v>18</v>
      </c>
      <c r="G658" t="s">
        <v>49</v>
      </c>
      <c r="H658">
        <v>0</v>
      </c>
      <c r="I658">
        <v>30</v>
      </c>
      <c r="J658">
        <v>4050</v>
      </c>
      <c r="K658">
        <v>121500</v>
      </c>
      <c r="L658">
        <v>0</v>
      </c>
      <c r="M658">
        <v>121500</v>
      </c>
      <c r="N658" t="s">
        <v>651</v>
      </c>
      <c r="O658" t="s">
        <v>21</v>
      </c>
    </row>
    <row r="659" spans="1:15" x14ac:dyDescent="0.3">
      <c r="A659" t="str">
        <f t="shared" si="10"/>
        <v>W23-1R-523L-XX</v>
      </c>
      <c r="B659" t="s">
        <v>14</v>
      </c>
      <c r="C659" t="s">
        <v>649</v>
      </c>
      <c r="D659" t="s">
        <v>16</v>
      </c>
      <c r="E659" t="s">
        <v>650</v>
      </c>
      <c r="F659" t="s">
        <v>18</v>
      </c>
      <c r="G659" t="s">
        <v>22</v>
      </c>
      <c r="H659">
        <v>0</v>
      </c>
      <c r="I659">
        <v>60</v>
      </c>
      <c r="J659">
        <v>4050</v>
      </c>
      <c r="K659">
        <v>243000</v>
      </c>
      <c r="L659">
        <v>0</v>
      </c>
      <c r="M659">
        <v>243000</v>
      </c>
      <c r="N659" t="s">
        <v>651</v>
      </c>
      <c r="O659" t="s">
        <v>21</v>
      </c>
    </row>
    <row r="660" spans="1:15" x14ac:dyDescent="0.3">
      <c r="A660" t="str">
        <f t="shared" si="10"/>
        <v>W23-1R-523R-XX</v>
      </c>
      <c r="B660" t="s">
        <v>14</v>
      </c>
      <c r="C660" t="s">
        <v>652</v>
      </c>
      <c r="D660" t="s">
        <v>16</v>
      </c>
      <c r="E660" t="s">
        <v>653</v>
      </c>
      <c r="F660" t="s">
        <v>18</v>
      </c>
      <c r="G660" t="s">
        <v>49</v>
      </c>
      <c r="H660">
        <v>0</v>
      </c>
      <c r="I660">
        <v>30</v>
      </c>
      <c r="J660">
        <v>4050</v>
      </c>
      <c r="K660">
        <v>121500</v>
      </c>
      <c r="L660">
        <v>0</v>
      </c>
      <c r="M660">
        <v>121500</v>
      </c>
      <c r="N660" t="s">
        <v>654</v>
      </c>
      <c r="O660" t="s">
        <v>21</v>
      </c>
    </row>
    <row r="661" spans="1:15" x14ac:dyDescent="0.3">
      <c r="A661" t="str">
        <f t="shared" si="10"/>
        <v>W23-1R-523R-XX</v>
      </c>
      <c r="B661" t="s">
        <v>14</v>
      </c>
      <c r="C661" t="s">
        <v>652</v>
      </c>
      <c r="D661" t="s">
        <v>16</v>
      </c>
      <c r="E661" t="s">
        <v>653</v>
      </c>
      <c r="F661" t="s">
        <v>18</v>
      </c>
      <c r="G661" t="s">
        <v>22</v>
      </c>
      <c r="H661">
        <v>0</v>
      </c>
      <c r="I661">
        <v>60</v>
      </c>
      <c r="J661">
        <v>4050</v>
      </c>
      <c r="K661">
        <v>243000</v>
      </c>
      <c r="L661">
        <v>0</v>
      </c>
      <c r="M661">
        <v>243000</v>
      </c>
      <c r="N661" t="s">
        <v>654</v>
      </c>
      <c r="O661" t="s">
        <v>21</v>
      </c>
    </row>
    <row r="662" spans="1:15" x14ac:dyDescent="0.3">
      <c r="A662" t="str">
        <f t="shared" si="10"/>
        <v>W23-1R-523R-XX</v>
      </c>
      <c r="B662" t="s">
        <v>14</v>
      </c>
      <c r="C662" t="s">
        <v>652</v>
      </c>
      <c r="D662" t="s">
        <v>16</v>
      </c>
      <c r="E662" t="s">
        <v>653</v>
      </c>
      <c r="F662" t="s">
        <v>18</v>
      </c>
      <c r="G662" t="s">
        <v>19</v>
      </c>
      <c r="H662">
        <v>0</v>
      </c>
      <c r="I662">
        <v>1680</v>
      </c>
      <c r="J662">
        <v>4050</v>
      </c>
      <c r="K662">
        <v>6804000</v>
      </c>
      <c r="L662">
        <v>0</v>
      </c>
      <c r="M662">
        <v>6804000</v>
      </c>
      <c r="N662" t="s">
        <v>654</v>
      </c>
      <c r="O662" t="s">
        <v>21</v>
      </c>
    </row>
    <row r="663" spans="1:15" x14ac:dyDescent="0.3">
      <c r="A663" t="str">
        <f t="shared" si="10"/>
        <v>W23-3I-101-XX</v>
      </c>
      <c r="B663" t="s">
        <v>14</v>
      </c>
      <c r="C663" t="s">
        <v>655</v>
      </c>
      <c r="D663" t="s">
        <v>16</v>
      </c>
      <c r="E663" t="s">
        <v>656</v>
      </c>
      <c r="F663" t="s">
        <v>18</v>
      </c>
      <c r="G663" t="s">
        <v>29</v>
      </c>
      <c r="H663">
        <v>0</v>
      </c>
      <c r="I663">
        <v>2</v>
      </c>
      <c r="J663">
        <v>470</v>
      </c>
      <c r="K663">
        <v>940</v>
      </c>
      <c r="L663">
        <v>0</v>
      </c>
      <c r="M663">
        <v>940</v>
      </c>
      <c r="N663" t="s">
        <v>657</v>
      </c>
      <c r="O663" t="s">
        <v>21</v>
      </c>
    </row>
    <row r="664" spans="1:15" x14ac:dyDescent="0.3">
      <c r="A664" t="str">
        <f t="shared" si="10"/>
        <v>W23-3I-101-XX</v>
      </c>
      <c r="B664" t="s">
        <v>14</v>
      </c>
      <c r="C664" t="s">
        <v>655</v>
      </c>
      <c r="D664" t="s">
        <v>16</v>
      </c>
      <c r="E664" t="s">
        <v>656</v>
      </c>
      <c r="F664" t="s">
        <v>18</v>
      </c>
      <c r="G664" t="s">
        <v>29</v>
      </c>
      <c r="H664">
        <v>0</v>
      </c>
      <c r="I664">
        <v>3</v>
      </c>
      <c r="J664">
        <v>430</v>
      </c>
      <c r="K664">
        <v>1290</v>
      </c>
      <c r="L664">
        <v>0</v>
      </c>
      <c r="M664">
        <v>1290</v>
      </c>
      <c r="N664" t="s">
        <v>657</v>
      </c>
      <c r="O664" t="s">
        <v>21</v>
      </c>
    </row>
    <row r="665" spans="1:15" x14ac:dyDescent="0.3">
      <c r="A665" t="str">
        <f t="shared" si="10"/>
        <v>W23-3I-102-XX</v>
      </c>
      <c r="B665" t="s">
        <v>14</v>
      </c>
      <c r="C665" t="s">
        <v>658</v>
      </c>
      <c r="D665" t="s">
        <v>16</v>
      </c>
      <c r="E665" t="s">
        <v>659</v>
      </c>
      <c r="F665" t="s">
        <v>18</v>
      </c>
      <c r="G665" t="s">
        <v>29</v>
      </c>
      <c r="H665">
        <v>0</v>
      </c>
      <c r="I665">
        <v>6</v>
      </c>
      <c r="J665">
        <v>410</v>
      </c>
      <c r="K665">
        <v>2460</v>
      </c>
      <c r="L665">
        <v>0</v>
      </c>
      <c r="M665">
        <v>2460</v>
      </c>
      <c r="N665" t="s">
        <v>660</v>
      </c>
      <c r="O665" t="s">
        <v>21</v>
      </c>
    </row>
    <row r="666" spans="1:15" x14ac:dyDescent="0.3">
      <c r="A666" t="str">
        <f t="shared" si="10"/>
        <v>W23-3I-102-XX</v>
      </c>
      <c r="B666" t="s">
        <v>14</v>
      </c>
      <c r="C666" t="s">
        <v>658</v>
      </c>
      <c r="D666" t="s">
        <v>16</v>
      </c>
      <c r="E666" t="s">
        <v>659</v>
      </c>
      <c r="F666" t="s">
        <v>18</v>
      </c>
      <c r="G666" t="s">
        <v>29</v>
      </c>
      <c r="H666">
        <v>0</v>
      </c>
      <c r="I666">
        <v>4</v>
      </c>
      <c r="J666">
        <v>440</v>
      </c>
      <c r="K666">
        <v>1760</v>
      </c>
      <c r="L666">
        <v>0</v>
      </c>
      <c r="M666">
        <v>1760</v>
      </c>
      <c r="N666" t="s">
        <v>660</v>
      </c>
      <c r="O666" t="s">
        <v>21</v>
      </c>
    </row>
    <row r="667" spans="1:15" x14ac:dyDescent="0.3">
      <c r="A667" t="str">
        <f t="shared" si="10"/>
        <v>W23-3I-103-XX</v>
      </c>
      <c r="B667" t="s">
        <v>14</v>
      </c>
      <c r="C667" t="s">
        <v>1834</v>
      </c>
      <c r="D667" t="s">
        <v>16</v>
      </c>
      <c r="E667" t="s">
        <v>1835</v>
      </c>
      <c r="F667" t="s">
        <v>18</v>
      </c>
      <c r="G667" t="s">
        <v>29</v>
      </c>
      <c r="H667">
        <v>0</v>
      </c>
      <c r="I667">
        <v>6</v>
      </c>
      <c r="J667">
        <v>250</v>
      </c>
      <c r="K667">
        <v>1500</v>
      </c>
      <c r="L667">
        <v>0</v>
      </c>
      <c r="M667">
        <v>1500</v>
      </c>
      <c r="N667" t="s">
        <v>1836</v>
      </c>
      <c r="O667" t="s">
        <v>21</v>
      </c>
    </row>
    <row r="668" spans="1:15" x14ac:dyDescent="0.3">
      <c r="A668" t="str">
        <f t="shared" si="10"/>
        <v>W23-3I-311-BK</v>
      </c>
      <c r="B668" t="s">
        <v>14</v>
      </c>
      <c r="C668" t="s">
        <v>661</v>
      </c>
      <c r="D668" t="s">
        <v>31</v>
      </c>
      <c r="E668" t="s">
        <v>662</v>
      </c>
      <c r="F668" t="s">
        <v>18</v>
      </c>
      <c r="G668" t="s">
        <v>663</v>
      </c>
      <c r="H668">
        <v>0</v>
      </c>
      <c r="I668">
        <v>1200</v>
      </c>
      <c r="J668">
        <v>430</v>
      </c>
      <c r="K668">
        <v>516000</v>
      </c>
      <c r="L668">
        <v>0</v>
      </c>
      <c r="M668">
        <v>516000</v>
      </c>
      <c r="N668" t="s">
        <v>164</v>
      </c>
      <c r="O668" t="s">
        <v>21</v>
      </c>
    </row>
    <row r="669" spans="1:15" x14ac:dyDescent="0.3">
      <c r="A669" t="str">
        <f t="shared" si="10"/>
        <v>W23-3I-311-BK</v>
      </c>
      <c r="B669" t="s">
        <v>14</v>
      </c>
      <c r="C669" t="s">
        <v>661</v>
      </c>
      <c r="D669" t="s">
        <v>31</v>
      </c>
      <c r="E669" t="s">
        <v>662</v>
      </c>
      <c r="F669" t="s">
        <v>18</v>
      </c>
      <c r="G669" t="s">
        <v>663</v>
      </c>
      <c r="H669">
        <v>0</v>
      </c>
      <c r="I669">
        <v>1200</v>
      </c>
      <c r="J669">
        <v>410</v>
      </c>
      <c r="K669">
        <v>492000</v>
      </c>
      <c r="L669">
        <v>0</v>
      </c>
      <c r="M669">
        <v>492000</v>
      </c>
      <c r="N669" t="s">
        <v>164</v>
      </c>
      <c r="O669" t="s">
        <v>21</v>
      </c>
    </row>
    <row r="670" spans="1:15" x14ac:dyDescent="0.3">
      <c r="A670" t="str">
        <f t="shared" si="10"/>
        <v>W23-3I-311-BK</v>
      </c>
      <c r="B670" t="s">
        <v>14</v>
      </c>
      <c r="C670" t="s">
        <v>661</v>
      </c>
      <c r="D670" t="s">
        <v>31</v>
      </c>
      <c r="E670" t="s">
        <v>662</v>
      </c>
      <c r="F670" t="s">
        <v>18</v>
      </c>
      <c r="G670" t="s">
        <v>29</v>
      </c>
      <c r="H670">
        <v>0</v>
      </c>
      <c r="I670">
        <v>8</v>
      </c>
      <c r="J670">
        <v>410</v>
      </c>
      <c r="K670">
        <v>3280</v>
      </c>
      <c r="L670">
        <v>0</v>
      </c>
      <c r="M670">
        <v>3280</v>
      </c>
      <c r="N670" t="s">
        <v>164</v>
      </c>
      <c r="O670" t="s">
        <v>21</v>
      </c>
    </row>
    <row r="671" spans="1:15" x14ac:dyDescent="0.3">
      <c r="A671" t="str">
        <f t="shared" si="10"/>
        <v>W23-3I-311A-BK</v>
      </c>
      <c r="B671" t="s">
        <v>14</v>
      </c>
      <c r="C671" t="s">
        <v>664</v>
      </c>
      <c r="D671" t="s">
        <v>31</v>
      </c>
      <c r="E671" t="s">
        <v>665</v>
      </c>
      <c r="F671" t="s">
        <v>18</v>
      </c>
      <c r="G671" t="s">
        <v>23</v>
      </c>
      <c r="H671">
        <v>0</v>
      </c>
      <c r="I671">
        <v>1600</v>
      </c>
      <c r="J671">
        <v>540</v>
      </c>
      <c r="K671">
        <v>864000</v>
      </c>
      <c r="L671">
        <v>0</v>
      </c>
      <c r="M671">
        <v>864000</v>
      </c>
      <c r="N671" t="s">
        <v>164</v>
      </c>
      <c r="O671" t="s">
        <v>21</v>
      </c>
    </row>
    <row r="672" spans="1:15" x14ac:dyDescent="0.3">
      <c r="A672" t="str">
        <f t="shared" si="10"/>
        <v>W23-3I-311A-BK</v>
      </c>
      <c r="B672" t="s">
        <v>14</v>
      </c>
      <c r="C672" t="s">
        <v>664</v>
      </c>
      <c r="D672" t="s">
        <v>31</v>
      </c>
      <c r="E672" t="s">
        <v>665</v>
      </c>
      <c r="F672" t="s">
        <v>18</v>
      </c>
      <c r="G672" t="s">
        <v>35</v>
      </c>
      <c r="H672">
        <v>0</v>
      </c>
      <c r="I672">
        <v>8000</v>
      </c>
      <c r="J672">
        <v>540</v>
      </c>
      <c r="K672">
        <v>4320000</v>
      </c>
      <c r="L672">
        <v>0</v>
      </c>
      <c r="M672">
        <v>4320000</v>
      </c>
      <c r="N672" t="s">
        <v>164</v>
      </c>
      <c r="O672" t="s">
        <v>21</v>
      </c>
    </row>
    <row r="673" spans="1:15" x14ac:dyDescent="0.3">
      <c r="A673" t="str">
        <f t="shared" si="10"/>
        <v>W23-3I-311A-BK</v>
      </c>
      <c r="B673" t="s">
        <v>14</v>
      </c>
      <c r="C673" t="s">
        <v>664</v>
      </c>
      <c r="D673" t="s">
        <v>31</v>
      </c>
      <c r="E673" t="s">
        <v>665</v>
      </c>
      <c r="F673" t="s">
        <v>18</v>
      </c>
      <c r="G673" t="s">
        <v>35</v>
      </c>
      <c r="H673">
        <v>0</v>
      </c>
      <c r="I673">
        <v>0</v>
      </c>
      <c r="J673">
        <v>590</v>
      </c>
      <c r="K673">
        <v>0</v>
      </c>
      <c r="L673">
        <v>0</v>
      </c>
      <c r="M673">
        <v>0</v>
      </c>
      <c r="N673" t="s">
        <v>164</v>
      </c>
      <c r="O673" t="s">
        <v>21</v>
      </c>
    </row>
    <row r="674" spans="1:15" x14ac:dyDescent="0.3">
      <c r="A674" t="str">
        <f t="shared" si="10"/>
        <v>W23-3I-311A-BK</v>
      </c>
      <c r="B674" t="s">
        <v>14</v>
      </c>
      <c r="C674" t="s">
        <v>664</v>
      </c>
      <c r="D674" t="s">
        <v>31</v>
      </c>
      <c r="E674" t="s">
        <v>665</v>
      </c>
      <c r="F674" t="s">
        <v>18</v>
      </c>
      <c r="G674" t="s">
        <v>29</v>
      </c>
      <c r="H674">
        <v>0</v>
      </c>
      <c r="I674">
        <v>62</v>
      </c>
      <c r="J674">
        <v>540</v>
      </c>
      <c r="K674">
        <v>33480</v>
      </c>
      <c r="L674">
        <v>0</v>
      </c>
      <c r="M674">
        <v>33480</v>
      </c>
      <c r="N674" t="s">
        <v>164</v>
      </c>
      <c r="O674" t="s">
        <v>21</v>
      </c>
    </row>
    <row r="675" spans="1:15" x14ac:dyDescent="0.3">
      <c r="A675" t="str">
        <f t="shared" si="10"/>
        <v>W23-3I-311A-BK</v>
      </c>
      <c r="B675" t="s">
        <v>14</v>
      </c>
      <c r="C675" t="s">
        <v>664</v>
      </c>
      <c r="D675" t="s">
        <v>31</v>
      </c>
      <c r="E675" t="s">
        <v>665</v>
      </c>
      <c r="F675" t="s">
        <v>18</v>
      </c>
      <c r="G675" t="s">
        <v>22</v>
      </c>
      <c r="H675">
        <v>0</v>
      </c>
      <c r="I675">
        <v>10</v>
      </c>
      <c r="J675">
        <v>590</v>
      </c>
      <c r="K675">
        <v>5900</v>
      </c>
      <c r="L675">
        <v>0</v>
      </c>
      <c r="M675">
        <v>5900</v>
      </c>
      <c r="N675" t="s">
        <v>164</v>
      </c>
      <c r="O675" t="s">
        <v>21</v>
      </c>
    </row>
    <row r="676" spans="1:15" x14ac:dyDescent="0.3">
      <c r="A676" t="str">
        <f t="shared" si="10"/>
        <v>W23-3I-311A-BK</v>
      </c>
      <c r="B676" t="s">
        <v>14</v>
      </c>
      <c r="C676" t="s">
        <v>664</v>
      </c>
      <c r="D676" t="s">
        <v>31</v>
      </c>
      <c r="E676" t="s">
        <v>665</v>
      </c>
      <c r="F676" t="s">
        <v>18</v>
      </c>
      <c r="G676" t="s">
        <v>23</v>
      </c>
      <c r="H676">
        <v>0</v>
      </c>
      <c r="I676">
        <v>0</v>
      </c>
      <c r="J676">
        <v>590</v>
      </c>
      <c r="K676">
        <v>0</v>
      </c>
      <c r="L676">
        <v>0</v>
      </c>
      <c r="M676">
        <v>0</v>
      </c>
      <c r="N676" t="s">
        <v>164</v>
      </c>
      <c r="O676" t="s">
        <v>21</v>
      </c>
    </row>
    <row r="677" spans="1:15" x14ac:dyDescent="0.3">
      <c r="A677" t="str">
        <f t="shared" si="10"/>
        <v>W23-3I-316A-TSBK</v>
      </c>
      <c r="B677" t="s">
        <v>14</v>
      </c>
      <c r="C677" t="s">
        <v>666</v>
      </c>
      <c r="D677" t="s">
        <v>667</v>
      </c>
      <c r="E677" t="s">
        <v>668</v>
      </c>
      <c r="F677" t="s">
        <v>18</v>
      </c>
      <c r="G677" t="s">
        <v>22</v>
      </c>
      <c r="H677">
        <v>0</v>
      </c>
      <c r="I677">
        <v>4</v>
      </c>
      <c r="J677">
        <v>2430</v>
      </c>
      <c r="K677">
        <v>9720</v>
      </c>
      <c r="L677">
        <v>0</v>
      </c>
      <c r="M677">
        <v>9720</v>
      </c>
      <c r="N677" t="s">
        <v>164</v>
      </c>
      <c r="O677" t="s">
        <v>21</v>
      </c>
    </row>
    <row r="678" spans="1:15" x14ac:dyDescent="0.3">
      <c r="A678" t="str">
        <f t="shared" si="10"/>
        <v>W23-3I-316A-TSBK</v>
      </c>
      <c r="B678" t="s">
        <v>14</v>
      </c>
      <c r="C678" t="s">
        <v>666</v>
      </c>
      <c r="D678" t="s">
        <v>667</v>
      </c>
      <c r="E678" t="s">
        <v>668</v>
      </c>
      <c r="F678" t="s">
        <v>18</v>
      </c>
      <c r="G678" t="s">
        <v>22</v>
      </c>
      <c r="H678">
        <v>0</v>
      </c>
      <c r="I678">
        <v>2</v>
      </c>
      <c r="J678">
        <v>2640</v>
      </c>
      <c r="K678">
        <v>5280</v>
      </c>
      <c r="L678">
        <v>0</v>
      </c>
      <c r="M678">
        <v>5280</v>
      </c>
      <c r="N678" t="s">
        <v>164</v>
      </c>
      <c r="O678" t="s">
        <v>21</v>
      </c>
    </row>
    <row r="679" spans="1:15" x14ac:dyDescent="0.3">
      <c r="A679" t="str">
        <f t="shared" si="10"/>
        <v>W23-3I-317A-TSBK</v>
      </c>
      <c r="B679" t="s">
        <v>14</v>
      </c>
      <c r="C679" t="s">
        <v>669</v>
      </c>
      <c r="D679" t="s">
        <v>667</v>
      </c>
      <c r="E679" t="s">
        <v>670</v>
      </c>
      <c r="F679" t="s">
        <v>18</v>
      </c>
      <c r="G679" t="s">
        <v>22</v>
      </c>
      <c r="H679">
        <v>0</v>
      </c>
      <c r="I679">
        <v>2</v>
      </c>
      <c r="J679">
        <v>2410</v>
      </c>
      <c r="K679">
        <v>4820</v>
      </c>
      <c r="L679">
        <v>0</v>
      </c>
      <c r="M679">
        <v>4820</v>
      </c>
      <c r="N679" t="s">
        <v>164</v>
      </c>
      <c r="O679" t="s">
        <v>21</v>
      </c>
    </row>
    <row r="680" spans="1:15" x14ac:dyDescent="0.3">
      <c r="A680" t="str">
        <f t="shared" si="10"/>
        <v>W23-3I-317A-TSBK</v>
      </c>
      <c r="B680" t="s">
        <v>14</v>
      </c>
      <c r="C680" t="s">
        <v>669</v>
      </c>
      <c r="D680" t="s">
        <v>667</v>
      </c>
      <c r="E680" t="s">
        <v>670</v>
      </c>
      <c r="F680" t="s">
        <v>18</v>
      </c>
      <c r="G680" t="s">
        <v>22</v>
      </c>
      <c r="H680">
        <v>0</v>
      </c>
      <c r="I680">
        <v>5</v>
      </c>
      <c r="J680">
        <v>2230</v>
      </c>
      <c r="K680">
        <v>11150</v>
      </c>
      <c r="L680">
        <v>0</v>
      </c>
      <c r="M680">
        <v>11150</v>
      </c>
      <c r="N680" t="s">
        <v>164</v>
      </c>
      <c r="O680" t="s">
        <v>21</v>
      </c>
    </row>
    <row r="681" spans="1:15" x14ac:dyDescent="0.3">
      <c r="A681" t="str">
        <f t="shared" si="10"/>
        <v>W23-3I-321-TS</v>
      </c>
      <c r="B681" t="s">
        <v>14</v>
      </c>
      <c r="C681" t="s">
        <v>671</v>
      </c>
      <c r="D681" t="s">
        <v>168</v>
      </c>
      <c r="E681" t="s">
        <v>662</v>
      </c>
      <c r="F681" t="s">
        <v>18</v>
      </c>
      <c r="G681" t="s">
        <v>35</v>
      </c>
      <c r="H681">
        <v>0</v>
      </c>
      <c r="I681">
        <v>200</v>
      </c>
      <c r="J681">
        <v>570</v>
      </c>
      <c r="K681">
        <v>114000</v>
      </c>
      <c r="L681">
        <v>0</v>
      </c>
      <c r="M681">
        <v>114000</v>
      </c>
      <c r="N681" t="s">
        <v>164</v>
      </c>
      <c r="O681" t="s">
        <v>21</v>
      </c>
    </row>
    <row r="682" spans="1:15" x14ac:dyDescent="0.3">
      <c r="A682" t="str">
        <f t="shared" si="10"/>
        <v>W23-3I-321-TS</v>
      </c>
      <c r="B682" t="s">
        <v>14</v>
      </c>
      <c r="C682" t="s">
        <v>671</v>
      </c>
      <c r="D682" t="s">
        <v>168</v>
      </c>
      <c r="E682" t="s">
        <v>662</v>
      </c>
      <c r="F682" t="s">
        <v>18</v>
      </c>
      <c r="G682" t="s">
        <v>35</v>
      </c>
      <c r="H682">
        <v>0</v>
      </c>
      <c r="I682">
        <v>0</v>
      </c>
      <c r="J682">
        <v>620</v>
      </c>
      <c r="K682">
        <v>0</v>
      </c>
      <c r="L682">
        <v>0</v>
      </c>
      <c r="M682">
        <v>0</v>
      </c>
      <c r="N682" t="s">
        <v>164</v>
      </c>
      <c r="O682" t="s">
        <v>21</v>
      </c>
    </row>
    <row r="683" spans="1:15" x14ac:dyDescent="0.3">
      <c r="A683" t="str">
        <f t="shared" si="10"/>
        <v>W23-3I-321-TS</v>
      </c>
      <c r="B683" t="s">
        <v>14</v>
      </c>
      <c r="C683" t="s">
        <v>671</v>
      </c>
      <c r="D683" t="s">
        <v>168</v>
      </c>
      <c r="E683" t="s">
        <v>662</v>
      </c>
      <c r="F683" t="s">
        <v>18</v>
      </c>
      <c r="G683" t="s">
        <v>1677</v>
      </c>
      <c r="H683">
        <v>0</v>
      </c>
      <c r="I683">
        <v>600</v>
      </c>
      <c r="J683">
        <v>570</v>
      </c>
      <c r="K683">
        <v>342000</v>
      </c>
      <c r="L683">
        <v>0</v>
      </c>
      <c r="M683">
        <v>342000</v>
      </c>
      <c r="N683" t="s">
        <v>164</v>
      </c>
      <c r="O683" t="s">
        <v>21</v>
      </c>
    </row>
    <row r="684" spans="1:15" x14ac:dyDescent="0.3">
      <c r="A684" t="str">
        <f t="shared" si="10"/>
        <v>W23-3I-321-TS</v>
      </c>
      <c r="B684" t="s">
        <v>14</v>
      </c>
      <c r="C684" t="s">
        <v>671</v>
      </c>
      <c r="D684" t="s">
        <v>168</v>
      </c>
      <c r="E684" t="s">
        <v>662</v>
      </c>
      <c r="F684" t="s">
        <v>18</v>
      </c>
      <c r="G684" t="s">
        <v>246</v>
      </c>
      <c r="H684">
        <v>0</v>
      </c>
      <c r="I684">
        <v>1000</v>
      </c>
      <c r="J684">
        <v>570</v>
      </c>
      <c r="K684">
        <v>570000</v>
      </c>
      <c r="L684">
        <v>0</v>
      </c>
      <c r="M684">
        <v>570000</v>
      </c>
      <c r="N684" t="s">
        <v>164</v>
      </c>
      <c r="O684" t="s">
        <v>21</v>
      </c>
    </row>
    <row r="685" spans="1:15" x14ac:dyDescent="0.3">
      <c r="A685" t="str">
        <f t="shared" si="10"/>
        <v>W23-3I-321-TS</v>
      </c>
      <c r="B685" t="s">
        <v>14</v>
      </c>
      <c r="C685" t="s">
        <v>671</v>
      </c>
      <c r="D685" t="s">
        <v>168</v>
      </c>
      <c r="E685" t="s">
        <v>662</v>
      </c>
      <c r="F685" t="s">
        <v>18</v>
      </c>
      <c r="G685" t="s">
        <v>246</v>
      </c>
      <c r="H685">
        <v>0</v>
      </c>
      <c r="I685">
        <v>0</v>
      </c>
      <c r="J685">
        <v>620</v>
      </c>
      <c r="K685">
        <v>0</v>
      </c>
      <c r="L685">
        <v>0</v>
      </c>
      <c r="M685">
        <v>0</v>
      </c>
      <c r="N685" t="s">
        <v>164</v>
      </c>
      <c r="O685" t="s">
        <v>21</v>
      </c>
    </row>
    <row r="686" spans="1:15" x14ac:dyDescent="0.3">
      <c r="A686" t="str">
        <f t="shared" si="10"/>
        <v>W23-3I-321A-TS</v>
      </c>
      <c r="B686" t="s">
        <v>14</v>
      </c>
      <c r="C686" t="s">
        <v>672</v>
      </c>
      <c r="D686" t="s">
        <v>168</v>
      </c>
      <c r="E686" t="s">
        <v>665</v>
      </c>
      <c r="F686" t="s">
        <v>18</v>
      </c>
      <c r="G686" t="s">
        <v>246</v>
      </c>
      <c r="H686">
        <v>0</v>
      </c>
      <c r="I686">
        <v>0</v>
      </c>
      <c r="J686">
        <v>780</v>
      </c>
      <c r="K686">
        <v>0</v>
      </c>
      <c r="L686">
        <v>0</v>
      </c>
      <c r="M686">
        <v>0</v>
      </c>
      <c r="N686" t="s">
        <v>164</v>
      </c>
      <c r="O686" t="s">
        <v>21</v>
      </c>
    </row>
    <row r="687" spans="1:15" x14ac:dyDescent="0.3">
      <c r="A687" t="str">
        <f t="shared" si="10"/>
        <v>W23-3I-321A-TS</v>
      </c>
      <c r="B687" t="s">
        <v>14</v>
      </c>
      <c r="C687" t="s">
        <v>672</v>
      </c>
      <c r="D687" t="s">
        <v>168</v>
      </c>
      <c r="E687" t="s">
        <v>665</v>
      </c>
      <c r="F687" t="s">
        <v>18</v>
      </c>
      <c r="G687" t="s">
        <v>35</v>
      </c>
      <c r="H687">
        <v>0</v>
      </c>
      <c r="I687">
        <v>200</v>
      </c>
      <c r="J687">
        <v>720</v>
      </c>
      <c r="K687">
        <v>144000</v>
      </c>
      <c r="L687">
        <v>0</v>
      </c>
      <c r="M687">
        <v>144000</v>
      </c>
      <c r="N687" t="s">
        <v>164</v>
      </c>
      <c r="O687" t="s">
        <v>21</v>
      </c>
    </row>
    <row r="688" spans="1:15" x14ac:dyDescent="0.3">
      <c r="A688" t="str">
        <f t="shared" si="10"/>
        <v>W23-3I-321A-TS</v>
      </c>
      <c r="B688" t="s">
        <v>14</v>
      </c>
      <c r="C688" t="s">
        <v>672</v>
      </c>
      <c r="D688" t="s">
        <v>168</v>
      </c>
      <c r="E688" t="s">
        <v>665</v>
      </c>
      <c r="F688" t="s">
        <v>18</v>
      </c>
      <c r="G688" t="s">
        <v>246</v>
      </c>
      <c r="H688">
        <v>0</v>
      </c>
      <c r="I688">
        <v>503</v>
      </c>
      <c r="J688">
        <v>720</v>
      </c>
      <c r="K688">
        <v>362160</v>
      </c>
      <c r="L688">
        <v>0</v>
      </c>
      <c r="M688">
        <v>362160</v>
      </c>
      <c r="N688" t="s">
        <v>164</v>
      </c>
      <c r="O688" t="s">
        <v>21</v>
      </c>
    </row>
    <row r="689" spans="1:15" x14ac:dyDescent="0.3">
      <c r="A689" t="str">
        <f t="shared" si="10"/>
        <v>W23-3I-321A-TS</v>
      </c>
      <c r="B689" t="s">
        <v>14</v>
      </c>
      <c r="C689" t="s">
        <v>672</v>
      </c>
      <c r="D689" t="s">
        <v>168</v>
      </c>
      <c r="E689" t="s">
        <v>665</v>
      </c>
      <c r="F689" t="s">
        <v>18</v>
      </c>
      <c r="G689" t="s">
        <v>35</v>
      </c>
      <c r="H689">
        <v>0</v>
      </c>
      <c r="I689">
        <v>0</v>
      </c>
      <c r="J689">
        <v>780</v>
      </c>
      <c r="K689">
        <v>0</v>
      </c>
      <c r="L689">
        <v>0</v>
      </c>
      <c r="M689">
        <v>0</v>
      </c>
      <c r="N689" t="s">
        <v>164</v>
      </c>
      <c r="O689" t="s">
        <v>21</v>
      </c>
    </row>
    <row r="690" spans="1:15" x14ac:dyDescent="0.3">
      <c r="A690" t="str">
        <f t="shared" si="10"/>
        <v>W23-3I-325A-WHT</v>
      </c>
      <c r="B690" t="s">
        <v>14</v>
      </c>
      <c r="C690" t="s">
        <v>673</v>
      </c>
      <c r="D690" t="s">
        <v>674</v>
      </c>
      <c r="E690" t="s">
        <v>675</v>
      </c>
      <c r="F690" t="s">
        <v>18</v>
      </c>
      <c r="G690" t="s">
        <v>174</v>
      </c>
      <c r="H690">
        <v>0</v>
      </c>
      <c r="I690">
        <v>6000</v>
      </c>
      <c r="J690">
        <v>110</v>
      </c>
      <c r="K690">
        <v>660000</v>
      </c>
      <c r="L690">
        <v>0</v>
      </c>
      <c r="M690">
        <v>660000</v>
      </c>
      <c r="N690" t="s">
        <v>676</v>
      </c>
      <c r="O690" t="s">
        <v>21</v>
      </c>
    </row>
    <row r="691" spans="1:15" x14ac:dyDescent="0.3">
      <c r="A691" t="str">
        <f t="shared" si="10"/>
        <v>W24-1H-117-XX</v>
      </c>
      <c r="B691" t="s">
        <v>14</v>
      </c>
      <c r="C691" t="s">
        <v>677</v>
      </c>
      <c r="D691" t="s">
        <v>16</v>
      </c>
      <c r="E691" t="s">
        <v>678</v>
      </c>
      <c r="F691" t="s">
        <v>18</v>
      </c>
      <c r="G691" t="s">
        <v>49</v>
      </c>
      <c r="H691">
        <v>0</v>
      </c>
      <c r="I691">
        <v>3600</v>
      </c>
      <c r="J691">
        <v>190</v>
      </c>
      <c r="K691">
        <v>684000</v>
      </c>
      <c r="L691">
        <v>0</v>
      </c>
      <c r="M691">
        <v>684000</v>
      </c>
      <c r="O691" t="s">
        <v>21</v>
      </c>
    </row>
    <row r="692" spans="1:15" x14ac:dyDescent="0.3">
      <c r="A692" t="str">
        <f t="shared" si="10"/>
        <v>W51-0L-00001-LD</v>
      </c>
      <c r="B692" t="s">
        <v>14</v>
      </c>
      <c r="C692" t="s">
        <v>1837</v>
      </c>
      <c r="D692" t="s">
        <v>234</v>
      </c>
      <c r="E692" t="s">
        <v>868</v>
      </c>
      <c r="F692" t="s">
        <v>18</v>
      </c>
      <c r="G692" t="s">
        <v>111</v>
      </c>
      <c r="H692">
        <v>0</v>
      </c>
      <c r="I692">
        <v>11</v>
      </c>
      <c r="J692">
        <v>21740</v>
      </c>
      <c r="K692">
        <v>239140</v>
      </c>
      <c r="L692">
        <v>0</v>
      </c>
      <c r="M692">
        <v>239140</v>
      </c>
      <c r="N692" t="s">
        <v>727</v>
      </c>
      <c r="O692" t="s">
        <v>680</v>
      </c>
    </row>
    <row r="693" spans="1:15" x14ac:dyDescent="0.3">
      <c r="A693" t="str">
        <f t="shared" si="10"/>
        <v>W51-0L-00018A-GU</v>
      </c>
      <c r="B693" t="s">
        <v>14</v>
      </c>
      <c r="C693" t="s">
        <v>681</v>
      </c>
      <c r="D693" t="s">
        <v>274</v>
      </c>
      <c r="E693" t="s">
        <v>682</v>
      </c>
      <c r="F693" t="s">
        <v>18</v>
      </c>
      <c r="G693" t="s">
        <v>26</v>
      </c>
      <c r="H693">
        <v>0</v>
      </c>
      <c r="I693">
        <v>-4</v>
      </c>
      <c r="J693">
        <v>31520</v>
      </c>
      <c r="K693">
        <v>-126080</v>
      </c>
      <c r="L693">
        <v>0</v>
      </c>
      <c r="M693">
        <v>-126080</v>
      </c>
      <c r="N693" t="s">
        <v>683</v>
      </c>
      <c r="O693" t="s">
        <v>680</v>
      </c>
    </row>
    <row r="694" spans="1:15" x14ac:dyDescent="0.3">
      <c r="A694" t="str">
        <f t="shared" si="10"/>
        <v>W51-0L-00019B-GU</v>
      </c>
      <c r="B694" t="s">
        <v>14</v>
      </c>
      <c r="C694" t="s">
        <v>684</v>
      </c>
      <c r="D694" t="s">
        <v>274</v>
      </c>
      <c r="E694" t="s">
        <v>685</v>
      </c>
      <c r="F694" t="s">
        <v>18</v>
      </c>
      <c r="G694" t="s">
        <v>49</v>
      </c>
      <c r="H694">
        <v>0</v>
      </c>
      <c r="I694">
        <v>20</v>
      </c>
      <c r="J694">
        <v>29820</v>
      </c>
      <c r="K694">
        <v>596400</v>
      </c>
      <c r="L694">
        <v>0</v>
      </c>
      <c r="M694">
        <v>596400</v>
      </c>
      <c r="N694" t="s">
        <v>686</v>
      </c>
      <c r="O694" t="s">
        <v>680</v>
      </c>
    </row>
    <row r="695" spans="1:15" x14ac:dyDescent="0.3">
      <c r="A695" t="str">
        <f t="shared" si="10"/>
        <v>W51-0L-00024-KAP</v>
      </c>
      <c r="B695" t="s">
        <v>14</v>
      </c>
      <c r="C695" t="s">
        <v>687</v>
      </c>
      <c r="D695" t="s">
        <v>261</v>
      </c>
      <c r="E695" t="s">
        <v>688</v>
      </c>
      <c r="F695" t="s">
        <v>18</v>
      </c>
      <c r="G695" t="s">
        <v>23</v>
      </c>
      <c r="H695">
        <v>0</v>
      </c>
      <c r="I695">
        <v>10</v>
      </c>
      <c r="J695">
        <v>26860</v>
      </c>
      <c r="K695">
        <v>268600</v>
      </c>
      <c r="L695">
        <v>0</v>
      </c>
      <c r="M695">
        <v>268600</v>
      </c>
      <c r="N695" t="s">
        <v>689</v>
      </c>
      <c r="O695" t="s">
        <v>680</v>
      </c>
    </row>
    <row r="696" spans="1:15" x14ac:dyDescent="0.3">
      <c r="A696" t="str">
        <f t="shared" si="10"/>
        <v>W51-0L-00024C-KAP</v>
      </c>
      <c r="B696" t="s">
        <v>14</v>
      </c>
      <c r="C696" t="s">
        <v>690</v>
      </c>
      <c r="D696" t="s">
        <v>261</v>
      </c>
      <c r="E696" t="s">
        <v>691</v>
      </c>
      <c r="F696" t="s">
        <v>18</v>
      </c>
      <c r="G696" t="s">
        <v>239</v>
      </c>
      <c r="H696">
        <v>0</v>
      </c>
      <c r="I696">
        <v>80</v>
      </c>
      <c r="J696">
        <v>21230</v>
      </c>
      <c r="K696">
        <v>1698400</v>
      </c>
      <c r="L696">
        <v>0</v>
      </c>
      <c r="M696">
        <v>1698400</v>
      </c>
      <c r="N696" t="s">
        <v>679</v>
      </c>
      <c r="O696" t="s">
        <v>680</v>
      </c>
    </row>
    <row r="697" spans="1:15" x14ac:dyDescent="0.3">
      <c r="A697" t="str">
        <f t="shared" si="10"/>
        <v>W51-0L-00048A-OS</v>
      </c>
      <c r="B697" t="s">
        <v>14</v>
      </c>
      <c r="C697" t="s">
        <v>692</v>
      </c>
      <c r="D697" t="s">
        <v>264</v>
      </c>
      <c r="E697" t="s">
        <v>693</v>
      </c>
      <c r="F697" t="s">
        <v>18</v>
      </c>
      <c r="G697" t="s">
        <v>68</v>
      </c>
      <c r="H697">
        <v>0</v>
      </c>
      <c r="I697">
        <v>942</v>
      </c>
      <c r="J697">
        <v>19610</v>
      </c>
      <c r="K697">
        <v>18472620</v>
      </c>
      <c r="L697">
        <v>0</v>
      </c>
      <c r="M697">
        <v>18472620</v>
      </c>
      <c r="N697" t="s">
        <v>679</v>
      </c>
      <c r="O697" t="s">
        <v>680</v>
      </c>
    </row>
    <row r="698" spans="1:15" x14ac:dyDescent="0.3">
      <c r="A698" t="str">
        <f t="shared" si="10"/>
        <v>W51-0L-00048A-OS</v>
      </c>
      <c r="B698" t="s">
        <v>14</v>
      </c>
      <c r="C698" t="s">
        <v>692</v>
      </c>
      <c r="D698" t="s">
        <v>264</v>
      </c>
      <c r="E698" t="s">
        <v>693</v>
      </c>
      <c r="F698" t="s">
        <v>18</v>
      </c>
      <c r="G698" t="s">
        <v>246</v>
      </c>
      <c r="H698">
        <v>0</v>
      </c>
      <c r="I698">
        <v>78</v>
      </c>
      <c r="J698">
        <v>19610</v>
      </c>
      <c r="K698">
        <v>1529580</v>
      </c>
      <c r="L698">
        <v>0</v>
      </c>
      <c r="M698">
        <v>1529580</v>
      </c>
      <c r="N698" t="s">
        <v>679</v>
      </c>
      <c r="O698" t="s">
        <v>680</v>
      </c>
    </row>
    <row r="699" spans="1:15" x14ac:dyDescent="0.3">
      <c r="A699" t="str">
        <f t="shared" si="10"/>
        <v>W51-0L-00050-OS</v>
      </c>
      <c r="B699" t="s">
        <v>14</v>
      </c>
      <c r="C699" t="s">
        <v>694</v>
      </c>
      <c r="D699" t="s">
        <v>264</v>
      </c>
      <c r="E699" t="s">
        <v>695</v>
      </c>
      <c r="F699" t="s">
        <v>18</v>
      </c>
      <c r="G699" t="s">
        <v>26</v>
      </c>
      <c r="H699">
        <v>0</v>
      </c>
      <c r="I699">
        <v>-2</v>
      </c>
      <c r="J699">
        <v>31850</v>
      </c>
      <c r="K699">
        <v>-63700</v>
      </c>
      <c r="L699">
        <v>0</v>
      </c>
      <c r="M699">
        <v>-63700</v>
      </c>
      <c r="N699" t="s">
        <v>683</v>
      </c>
      <c r="O699" t="s">
        <v>680</v>
      </c>
    </row>
    <row r="700" spans="1:15" x14ac:dyDescent="0.3">
      <c r="A700" t="str">
        <f t="shared" si="10"/>
        <v>W51-0L-00050-OS</v>
      </c>
      <c r="B700" t="s">
        <v>14</v>
      </c>
      <c r="C700" t="s">
        <v>694</v>
      </c>
      <c r="D700" t="s">
        <v>264</v>
      </c>
      <c r="E700" t="s">
        <v>695</v>
      </c>
      <c r="F700" t="s">
        <v>18</v>
      </c>
      <c r="G700" t="s">
        <v>111</v>
      </c>
      <c r="H700">
        <v>0</v>
      </c>
      <c r="I700">
        <v>21</v>
      </c>
      <c r="J700">
        <v>31850</v>
      </c>
      <c r="K700">
        <v>668850</v>
      </c>
      <c r="L700">
        <v>0</v>
      </c>
      <c r="M700">
        <v>668850</v>
      </c>
      <c r="N700" t="s">
        <v>683</v>
      </c>
      <c r="O700" t="s">
        <v>680</v>
      </c>
    </row>
    <row r="701" spans="1:15" x14ac:dyDescent="0.3">
      <c r="A701" t="str">
        <f t="shared" si="10"/>
        <v>W51-0L-00082-FIVGYM</v>
      </c>
      <c r="B701" t="s">
        <v>14</v>
      </c>
      <c r="C701" t="s">
        <v>698</v>
      </c>
      <c r="D701" t="s">
        <v>699</v>
      </c>
      <c r="E701" t="s">
        <v>700</v>
      </c>
      <c r="F701" t="s">
        <v>18</v>
      </c>
      <c r="G701" t="s">
        <v>19</v>
      </c>
      <c r="H701">
        <v>0</v>
      </c>
      <c r="I701">
        <v>300</v>
      </c>
      <c r="J701">
        <v>22220</v>
      </c>
      <c r="K701">
        <v>6666000</v>
      </c>
      <c r="L701">
        <v>0</v>
      </c>
      <c r="M701">
        <v>6666000</v>
      </c>
      <c r="N701" t="s">
        <v>683</v>
      </c>
      <c r="O701" t="s">
        <v>680</v>
      </c>
    </row>
    <row r="702" spans="1:15" x14ac:dyDescent="0.3">
      <c r="A702" t="str">
        <f t="shared" si="10"/>
        <v>W51-0L-00086-DN</v>
      </c>
      <c r="B702" t="s">
        <v>14</v>
      </c>
      <c r="C702" t="s">
        <v>1838</v>
      </c>
      <c r="D702" t="s">
        <v>702</v>
      </c>
      <c r="E702" t="s">
        <v>1839</v>
      </c>
      <c r="F702" t="s">
        <v>18</v>
      </c>
      <c r="G702" t="s">
        <v>35</v>
      </c>
      <c r="H702">
        <v>0</v>
      </c>
      <c r="I702">
        <v>1</v>
      </c>
      <c r="J702">
        <v>19790</v>
      </c>
      <c r="K702">
        <v>19790</v>
      </c>
      <c r="L702">
        <v>0</v>
      </c>
      <c r="M702">
        <v>19790</v>
      </c>
      <c r="N702" t="s">
        <v>727</v>
      </c>
      <c r="O702" t="s">
        <v>680</v>
      </c>
    </row>
    <row r="703" spans="1:15" x14ac:dyDescent="0.3">
      <c r="A703" t="str">
        <f t="shared" si="10"/>
        <v>W51-0L-00088-DN</v>
      </c>
      <c r="B703" t="s">
        <v>14</v>
      </c>
      <c r="C703" t="s">
        <v>701</v>
      </c>
      <c r="D703" t="s">
        <v>702</v>
      </c>
      <c r="E703" t="s">
        <v>1840</v>
      </c>
      <c r="F703" t="s">
        <v>18</v>
      </c>
      <c r="G703" t="s">
        <v>35</v>
      </c>
      <c r="H703">
        <v>0</v>
      </c>
      <c r="I703">
        <v>1</v>
      </c>
      <c r="J703">
        <v>22160</v>
      </c>
      <c r="K703">
        <v>22160</v>
      </c>
      <c r="L703">
        <v>0</v>
      </c>
      <c r="M703">
        <v>22160</v>
      </c>
      <c r="N703" t="s">
        <v>683</v>
      </c>
      <c r="O703" t="s">
        <v>680</v>
      </c>
    </row>
    <row r="704" spans="1:15" x14ac:dyDescent="0.3">
      <c r="A704" t="str">
        <f t="shared" si="10"/>
        <v>W51-0L-00088-DN</v>
      </c>
      <c r="B704" t="s">
        <v>14</v>
      </c>
      <c r="C704" t="s">
        <v>701</v>
      </c>
      <c r="D704" t="s">
        <v>702</v>
      </c>
      <c r="E704" t="s">
        <v>1840</v>
      </c>
      <c r="F704" t="s">
        <v>18</v>
      </c>
      <c r="G704" t="s">
        <v>49</v>
      </c>
      <c r="H704">
        <v>0</v>
      </c>
      <c r="I704">
        <v>6</v>
      </c>
      <c r="J704">
        <v>22160</v>
      </c>
      <c r="K704">
        <v>132960</v>
      </c>
      <c r="L704">
        <v>0</v>
      </c>
      <c r="M704">
        <v>132960</v>
      </c>
      <c r="N704" t="s">
        <v>683</v>
      </c>
      <c r="O704" t="s">
        <v>680</v>
      </c>
    </row>
    <row r="705" spans="1:15" x14ac:dyDescent="0.3">
      <c r="A705" t="str">
        <f t="shared" si="10"/>
        <v>W51-0L-00090-DN</v>
      </c>
      <c r="B705" t="s">
        <v>14</v>
      </c>
      <c r="C705" t="s">
        <v>1841</v>
      </c>
      <c r="D705" t="s">
        <v>702</v>
      </c>
      <c r="E705" t="s">
        <v>1842</v>
      </c>
      <c r="F705" t="s">
        <v>18</v>
      </c>
      <c r="G705" t="s">
        <v>35</v>
      </c>
      <c r="H705">
        <v>0</v>
      </c>
      <c r="I705">
        <v>1</v>
      </c>
      <c r="J705">
        <v>25210</v>
      </c>
      <c r="K705">
        <v>25210</v>
      </c>
      <c r="L705">
        <v>0</v>
      </c>
      <c r="M705">
        <v>25210</v>
      </c>
      <c r="N705" t="s">
        <v>689</v>
      </c>
      <c r="O705" t="s">
        <v>680</v>
      </c>
    </row>
    <row r="706" spans="1:15" x14ac:dyDescent="0.3">
      <c r="A706" t="str">
        <f t="shared" si="10"/>
        <v>W51-0L-00095-FK</v>
      </c>
      <c r="B706" t="s">
        <v>14</v>
      </c>
      <c r="C706" t="s">
        <v>703</v>
      </c>
      <c r="D706" t="s">
        <v>229</v>
      </c>
      <c r="E706" t="s">
        <v>704</v>
      </c>
      <c r="F706" t="s">
        <v>18</v>
      </c>
      <c r="G706" t="s">
        <v>49</v>
      </c>
      <c r="H706">
        <v>0</v>
      </c>
      <c r="I706">
        <v>31</v>
      </c>
      <c r="J706">
        <v>22000</v>
      </c>
      <c r="K706">
        <v>682000</v>
      </c>
      <c r="L706">
        <v>0</v>
      </c>
      <c r="M706">
        <v>682000</v>
      </c>
      <c r="N706" t="s">
        <v>683</v>
      </c>
      <c r="O706" t="s">
        <v>680</v>
      </c>
    </row>
    <row r="707" spans="1:15" x14ac:dyDescent="0.3">
      <c r="A707" t="str">
        <f t="shared" ref="A707:A770" si="11">C707&amp;"-"&amp;D707</f>
        <v>W51-0L-00095-FK</v>
      </c>
      <c r="B707" t="s">
        <v>14</v>
      </c>
      <c r="C707" t="s">
        <v>703</v>
      </c>
      <c r="D707" t="s">
        <v>229</v>
      </c>
      <c r="E707" t="s">
        <v>704</v>
      </c>
      <c r="F707" t="s">
        <v>18</v>
      </c>
      <c r="G707" t="s">
        <v>19</v>
      </c>
      <c r="H707">
        <v>0</v>
      </c>
      <c r="I707">
        <v>50</v>
      </c>
      <c r="J707">
        <v>22000</v>
      </c>
      <c r="K707">
        <v>1100000</v>
      </c>
      <c r="L707">
        <v>0</v>
      </c>
      <c r="M707">
        <v>1100000</v>
      </c>
      <c r="N707" t="s">
        <v>683</v>
      </c>
      <c r="O707" t="s">
        <v>680</v>
      </c>
    </row>
    <row r="708" spans="1:15" x14ac:dyDescent="0.3">
      <c r="A708" t="str">
        <f t="shared" si="11"/>
        <v>W51-0L-00095-FK</v>
      </c>
      <c r="B708" t="s">
        <v>14</v>
      </c>
      <c r="C708" t="s">
        <v>703</v>
      </c>
      <c r="D708" t="s">
        <v>229</v>
      </c>
      <c r="E708" t="s">
        <v>704</v>
      </c>
      <c r="F708" t="s">
        <v>18</v>
      </c>
      <c r="G708" t="s">
        <v>35</v>
      </c>
      <c r="H708">
        <v>0</v>
      </c>
      <c r="I708">
        <v>200</v>
      </c>
      <c r="J708">
        <v>22000</v>
      </c>
      <c r="K708">
        <v>4400000</v>
      </c>
      <c r="L708">
        <v>0</v>
      </c>
      <c r="M708">
        <v>4400000</v>
      </c>
      <c r="N708" t="s">
        <v>683</v>
      </c>
      <c r="O708" t="s">
        <v>680</v>
      </c>
    </row>
    <row r="709" spans="1:15" x14ac:dyDescent="0.3">
      <c r="A709" t="str">
        <f t="shared" si="11"/>
        <v>W51-0L-00107A-NCC</v>
      </c>
      <c r="B709" t="s">
        <v>14</v>
      </c>
      <c r="C709" t="s">
        <v>1843</v>
      </c>
      <c r="D709" t="s">
        <v>220</v>
      </c>
      <c r="E709" t="s">
        <v>1844</v>
      </c>
      <c r="F709" t="s">
        <v>18</v>
      </c>
      <c r="G709" t="s">
        <v>111</v>
      </c>
      <c r="H709">
        <v>0</v>
      </c>
      <c r="I709">
        <v>7</v>
      </c>
      <c r="J709">
        <v>42680</v>
      </c>
      <c r="K709">
        <v>298760</v>
      </c>
      <c r="L709">
        <v>0</v>
      </c>
      <c r="M709">
        <v>298760</v>
      </c>
      <c r="N709" t="s">
        <v>689</v>
      </c>
      <c r="O709" t="s">
        <v>680</v>
      </c>
    </row>
    <row r="710" spans="1:15" x14ac:dyDescent="0.3">
      <c r="A710" t="str">
        <f t="shared" si="11"/>
        <v>W51-0L-0020Y-CC</v>
      </c>
      <c r="B710" t="s">
        <v>14</v>
      </c>
      <c r="C710" t="s">
        <v>706</v>
      </c>
      <c r="D710" t="s">
        <v>249</v>
      </c>
      <c r="E710" t="s">
        <v>707</v>
      </c>
      <c r="F710" t="s">
        <v>18</v>
      </c>
      <c r="G710" t="s">
        <v>284</v>
      </c>
      <c r="H710">
        <v>0</v>
      </c>
      <c r="I710">
        <v>80</v>
      </c>
      <c r="J710">
        <v>20450</v>
      </c>
      <c r="K710">
        <v>1636000</v>
      </c>
      <c r="L710">
        <v>0</v>
      </c>
      <c r="M710">
        <v>1636000</v>
      </c>
      <c r="N710" t="s">
        <v>708</v>
      </c>
      <c r="O710" t="s">
        <v>680</v>
      </c>
    </row>
    <row r="711" spans="1:15" x14ac:dyDescent="0.3">
      <c r="A711" t="str">
        <f t="shared" si="11"/>
        <v>W51-0L-0020Y-CC</v>
      </c>
      <c r="B711" t="s">
        <v>14</v>
      </c>
      <c r="C711" t="s">
        <v>706</v>
      </c>
      <c r="D711" t="s">
        <v>249</v>
      </c>
      <c r="E711" t="s">
        <v>707</v>
      </c>
      <c r="F711" t="s">
        <v>18</v>
      </c>
      <c r="G711" t="s">
        <v>119</v>
      </c>
      <c r="H711">
        <v>0</v>
      </c>
      <c r="I711">
        <v>20</v>
      </c>
      <c r="J711">
        <v>20450</v>
      </c>
      <c r="K711">
        <v>409000</v>
      </c>
      <c r="L711">
        <v>0</v>
      </c>
      <c r="M711">
        <v>409000</v>
      </c>
      <c r="N711" t="s">
        <v>708</v>
      </c>
      <c r="O711" t="s">
        <v>680</v>
      </c>
    </row>
    <row r="712" spans="1:15" x14ac:dyDescent="0.3">
      <c r="A712" t="str">
        <f t="shared" si="11"/>
        <v>W51-0L-1044C-IV</v>
      </c>
      <c r="B712" t="s">
        <v>14</v>
      </c>
      <c r="C712" t="s">
        <v>709</v>
      </c>
      <c r="D712" t="s">
        <v>214</v>
      </c>
      <c r="E712" t="s">
        <v>710</v>
      </c>
      <c r="F712" t="s">
        <v>18</v>
      </c>
      <c r="G712" t="s">
        <v>248</v>
      </c>
      <c r="H712">
        <v>0</v>
      </c>
      <c r="I712">
        <v>30</v>
      </c>
      <c r="J712">
        <v>37220</v>
      </c>
      <c r="K712">
        <v>1116600</v>
      </c>
      <c r="L712">
        <v>0</v>
      </c>
      <c r="M712">
        <v>1116600</v>
      </c>
      <c r="N712" t="s">
        <v>711</v>
      </c>
      <c r="O712" t="s">
        <v>680</v>
      </c>
    </row>
    <row r="713" spans="1:15" x14ac:dyDescent="0.3">
      <c r="A713" t="str">
        <f t="shared" si="11"/>
        <v>W51-0L-1106C-IV</v>
      </c>
      <c r="B713" t="s">
        <v>14</v>
      </c>
      <c r="C713" t="s">
        <v>712</v>
      </c>
      <c r="D713" t="s">
        <v>214</v>
      </c>
      <c r="E713" t="s">
        <v>713</v>
      </c>
      <c r="F713" t="s">
        <v>18</v>
      </c>
      <c r="G713" t="s">
        <v>49</v>
      </c>
      <c r="H713">
        <v>0</v>
      </c>
      <c r="I713">
        <v>54</v>
      </c>
      <c r="J713">
        <v>19150</v>
      </c>
      <c r="K713">
        <v>1034100</v>
      </c>
      <c r="L713">
        <v>0</v>
      </c>
      <c r="M713">
        <v>1034100</v>
      </c>
      <c r="N713" t="s">
        <v>714</v>
      </c>
      <c r="O713" t="s">
        <v>680</v>
      </c>
    </row>
    <row r="714" spans="1:15" x14ac:dyDescent="0.3">
      <c r="A714" t="str">
        <f t="shared" si="11"/>
        <v>W51-0L-1121A-IV</v>
      </c>
      <c r="B714" t="s">
        <v>14</v>
      </c>
      <c r="C714" t="s">
        <v>715</v>
      </c>
      <c r="D714" t="s">
        <v>214</v>
      </c>
      <c r="E714" t="s">
        <v>716</v>
      </c>
      <c r="F714" t="s">
        <v>18</v>
      </c>
      <c r="G714" t="s">
        <v>49</v>
      </c>
      <c r="H714">
        <v>0</v>
      </c>
      <c r="I714">
        <v>30</v>
      </c>
      <c r="J714">
        <v>17110</v>
      </c>
      <c r="K714">
        <v>513300</v>
      </c>
      <c r="L714">
        <v>0</v>
      </c>
      <c r="M714">
        <v>513300</v>
      </c>
      <c r="N714" t="s">
        <v>717</v>
      </c>
      <c r="O714" t="s">
        <v>680</v>
      </c>
    </row>
    <row r="715" spans="1:15" x14ac:dyDescent="0.3">
      <c r="A715" t="str">
        <f t="shared" si="11"/>
        <v>W51-0L-1121A-IV</v>
      </c>
      <c r="B715" t="s">
        <v>14</v>
      </c>
      <c r="C715" t="s">
        <v>715</v>
      </c>
      <c r="D715" t="s">
        <v>214</v>
      </c>
      <c r="E715" t="s">
        <v>716</v>
      </c>
      <c r="F715" t="s">
        <v>18</v>
      </c>
      <c r="G715" t="s">
        <v>246</v>
      </c>
      <c r="H715">
        <v>0</v>
      </c>
      <c r="I715">
        <v>145</v>
      </c>
      <c r="J715">
        <v>17110</v>
      </c>
      <c r="K715">
        <v>2480950</v>
      </c>
      <c r="L715">
        <v>0</v>
      </c>
      <c r="M715">
        <v>2480950</v>
      </c>
      <c r="N715" t="s">
        <v>717</v>
      </c>
      <c r="O715" t="s">
        <v>680</v>
      </c>
    </row>
    <row r="716" spans="1:15" x14ac:dyDescent="0.3">
      <c r="A716" t="str">
        <f t="shared" si="11"/>
        <v>W51-0L-1152B-WW</v>
      </c>
      <c r="B716" t="s">
        <v>14</v>
      </c>
      <c r="C716" t="s">
        <v>718</v>
      </c>
      <c r="D716" t="s">
        <v>28</v>
      </c>
      <c r="E716" t="s">
        <v>719</v>
      </c>
      <c r="F716" t="s">
        <v>18</v>
      </c>
      <c r="G716" t="s">
        <v>23</v>
      </c>
      <c r="H716">
        <v>0</v>
      </c>
      <c r="I716">
        <v>180</v>
      </c>
      <c r="J716">
        <v>28830</v>
      </c>
      <c r="K716">
        <v>5189400</v>
      </c>
      <c r="L716">
        <v>0</v>
      </c>
      <c r="M716">
        <v>5189400</v>
      </c>
      <c r="N716" t="s">
        <v>720</v>
      </c>
      <c r="O716" t="s">
        <v>680</v>
      </c>
    </row>
    <row r="717" spans="1:15" x14ac:dyDescent="0.3">
      <c r="A717" t="str">
        <f t="shared" si="11"/>
        <v>W51-0L-1152B-WW</v>
      </c>
      <c r="B717" t="s">
        <v>14</v>
      </c>
      <c r="C717" t="s">
        <v>718</v>
      </c>
      <c r="D717" t="s">
        <v>28</v>
      </c>
      <c r="E717" t="s">
        <v>719</v>
      </c>
      <c r="F717" t="s">
        <v>18</v>
      </c>
      <c r="G717" t="s">
        <v>83</v>
      </c>
      <c r="H717">
        <v>0</v>
      </c>
      <c r="I717">
        <v>50</v>
      </c>
      <c r="J717">
        <v>28830</v>
      </c>
      <c r="K717">
        <v>1441500</v>
      </c>
      <c r="L717">
        <v>0</v>
      </c>
      <c r="M717">
        <v>1441500</v>
      </c>
      <c r="N717" t="s">
        <v>720</v>
      </c>
      <c r="O717" t="s">
        <v>680</v>
      </c>
    </row>
    <row r="718" spans="1:15" x14ac:dyDescent="0.3">
      <c r="A718" t="str">
        <f t="shared" si="11"/>
        <v>W51-0L-1152B-WW</v>
      </c>
      <c r="B718" t="s">
        <v>14</v>
      </c>
      <c r="C718" t="s">
        <v>718</v>
      </c>
      <c r="D718" t="s">
        <v>28</v>
      </c>
      <c r="E718" t="s">
        <v>719</v>
      </c>
      <c r="F718" t="s">
        <v>18</v>
      </c>
      <c r="G718" t="s">
        <v>49</v>
      </c>
      <c r="H718">
        <v>0</v>
      </c>
      <c r="I718">
        <v>251</v>
      </c>
      <c r="J718">
        <v>28830</v>
      </c>
      <c r="K718">
        <v>7236330</v>
      </c>
      <c r="L718">
        <v>0</v>
      </c>
      <c r="M718">
        <v>7236330</v>
      </c>
      <c r="N718" t="s">
        <v>720</v>
      </c>
      <c r="O718" t="s">
        <v>680</v>
      </c>
    </row>
    <row r="719" spans="1:15" x14ac:dyDescent="0.3">
      <c r="A719" t="str">
        <f t="shared" si="11"/>
        <v>W51-0L-1208-HBR</v>
      </c>
      <c r="B719" t="s">
        <v>14</v>
      </c>
      <c r="C719" t="s">
        <v>1845</v>
      </c>
      <c r="D719" t="s">
        <v>784</v>
      </c>
      <c r="E719" t="s">
        <v>1846</v>
      </c>
      <c r="F719" t="s">
        <v>18</v>
      </c>
      <c r="G719" t="s">
        <v>49</v>
      </c>
      <c r="H719">
        <v>0</v>
      </c>
      <c r="I719">
        <v>5</v>
      </c>
      <c r="J719">
        <v>19790</v>
      </c>
      <c r="K719">
        <v>98950</v>
      </c>
      <c r="L719">
        <v>0</v>
      </c>
      <c r="M719">
        <v>98950</v>
      </c>
      <c r="N719" t="s">
        <v>722</v>
      </c>
      <c r="O719" t="s">
        <v>680</v>
      </c>
    </row>
    <row r="720" spans="1:15" x14ac:dyDescent="0.3">
      <c r="A720" t="str">
        <f t="shared" si="11"/>
        <v>W51-0L-1267-WW</v>
      </c>
      <c r="B720" t="s">
        <v>14</v>
      </c>
      <c r="C720" t="s">
        <v>723</v>
      </c>
      <c r="D720" t="s">
        <v>28</v>
      </c>
      <c r="E720" t="s">
        <v>724</v>
      </c>
      <c r="F720" t="s">
        <v>18</v>
      </c>
      <c r="G720" t="s">
        <v>83</v>
      </c>
      <c r="H720">
        <v>0</v>
      </c>
      <c r="I720">
        <v>700</v>
      </c>
      <c r="J720">
        <v>21010</v>
      </c>
      <c r="K720">
        <v>14707000</v>
      </c>
      <c r="L720">
        <v>0</v>
      </c>
      <c r="M720">
        <v>14707000</v>
      </c>
      <c r="N720" t="s">
        <v>725</v>
      </c>
      <c r="O720" t="s">
        <v>680</v>
      </c>
    </row>
    <row r="721" spans="1:15" x14ac:dyDescent="0.3">
      <c r="A721" t="str">
        <f t="shared" si="11"/>
        <v>W51-0L-1267-WW</v>
      </c>
      <c r="B721" t="s">
        <v>14</v>
      </c>
      <c r="C721" t="s">
        <v>723</v>
      </c>
      <c r="D721" t="s">
        <v>28</v>
      </c>
      <c r="E721" t="s">
        <v>724</v>
      </c>
      <c r="F721" t="s">
        <v>18</v>
      </c>
      <c r="G721" t="s">
        <v>49</v>
      </c>
      <c r="H721">
        <v>0</v>
      </c>
      <c r="I721">
        <v>443</v>
      </c>
      <c r="J721">
        <v>21010</v>
      </c>
      <c r="K721">
        <v>9307430</v>
      </c>
      <c r="L721">
        <v>0</v>
      </c>
      <c r="M721">
        <v>9307430</v>
      </c>
      <c r="N721" t="s">
        <v>725</v>
      </c>
      <c r="O721" t="s">
        <v>680</v>
      </c>
    </row>
    <row r="722" spans="1:15" x14ac:dyDescent="0.3">
      <c r="A722" t="str">
        <f t="shared" si="11"/>
        <v>W51-0L-1267-WW</v>
      </c>
      <c r="B722" t="s">
        <v>14</v>
      </c>
      <c r="C722" t="s">
        <v>723</v>
      </c>
      <c r="D722" t="s">
        <v>28</v>
      </c>
      <c r="E722" t="s">
        <v>724</v>
      </c>
      <c r="F722" t="s">
        <v>18</v>
      </c>
      <c r="G722" t="s">
        <v>23</v>
      </c>
      <c r="H722">
        <v>0</v>
      </c>
      <c r="I722">
        <v>560</v>
      </c>
      <c r="J722">
        <v>21010</v>
      </c>
      <c r="K722">
        <v>11765600</v>
      </c>
      <c r="L722">
        <v>0</v>
      </c>
      <c r="M722">
        <v>11765600</v>
      </c>
      <c r="N722" t="s">
        <v>725</v>
      </c>
      <c r="O722" t="s">
        <v>680</v>
      </c>
    </row>
    <row r="723" spans="1:15" x14ac:dyDescent="0.3">
      <c r="A723" t="str">
        <f t="shared" si="11"/>
        <v>W51-0L-1319C-HBR</v>
      </c>
      <c r="B723" t="s">
        <v>14</v>
      </c>
      <c r="C723" t="s">
        <v>1847</v>
      </c>
      <c r="D723" t="s">
        <v>784</v>
      </c>
      <c r="E723" t="s">
        <v>1848</v>
      </c>
      <c r="F723" t="s">
        <v>18</v>
      </c>
      <c r="G723" t="s">
        <v>49</v>
      </c>
      <c r="H723">
        <v>0</v>
      </c>
      <c r="I723">
        <v>25</v>
      </c>
      <c r="J723">
        <v>22160</v>
      </c>
      <c r="K723">
        <v>554000</v>
      </c>
      <c r="L723">
        <v>0</v>
      </c>
      <c r="M723">
        <v>554000</v>
      </c>
      <c r="N723" t="s">
        <v>1849</v>
      </c>
      <c r="O723" t="s">
        <v>680</v>
      </c>
    </row>
    <row r="724" spans="1:15" x14ac:dyDescent="0.3">
      <c r="A724" t="str">
        <f t="shared" si="11"/>
        <v>W51-0L-1319V-IV</v>
      </c>
      <c r="B724" t="s">
        <v>14</v>
      </c>
      <c r="C724" t="s">
        <v>729</v>
      </c>
      <c r="D724" t="s">
        <v>214</v>
      </c>
      <c r="E724" t="s">
        <v>730</v>
      </c>
      <c r="F724" t="s">
        <v>18</v>
      </c>
      <c r="G724" t="s">
        <v>111</v>
      </c>
      <c r="H724">
        <v>0</v>
      </c>
      <c r="I724">
        <v>53</v>
      </c>
      <c r="J724">
        <v>31270</v>
      </c>
      <c r="K724">
        <v>1657310</v>
      </c>
      <c r="L724">
        <v>0</v>
      </c>
      <c r="M724">
        <v>1657310</v>
      </c>
      <c r="N724" t="s">
        <v>731</v>
      </c>
      <c r="O724" t="s">
        <v>680</v>
      </c>
    </row>
    <row r="725" spans="1:15" x14ac:dyDescent="0.3">
      <c r="A725" t="str">
        <f t="shared" si="11"/>
        <v>W51-0L-1319V-IV</v>
      </c>
      <c r="B725" t="s">
        <v>14</v>
      </c>
      <c r="C725" t="s">
        <v>729</v>
      </c>
      <c r="D725" t="s">
        <v>214</v>
      </c>
      <c r="E725" t="s">
        <v>730</v>
      </c>
      <c r="F725" t="s">
        <v>18</v>
      </c>
      <c r="G725" t="s">
        <v>26</v>
      </c>
      <c r="H725">
        <v>0</v>
      </c>
      <c r="I725">
        <v>60</v>
      </c>
      <c r="J725">
        <v>31270</v>
      </c>
      <c r="K725">
        <v>1876200</v>
      </c>
      <c r="L725">
        <v>0</v>
      </c>
      <c r="M725">
        <v>1876200</v>
      </c>
      <c r="N725" t="s">
        <v>731</v>
      </c>
      <c r="O725" t="s">
        <v>680</v>
      </c>
    </row>
    <row r="726" spans="1:15" x14ac:dyDescent="0.3">
      <c r="A726" t="str">
        <f t="shared" si="11"/>
        <v>W51-0L-1319W-IV</v>
      </c>
      <c r="B726" t="s">
        <v>14</v>
      </c>
      <c r="C726" t="s">
        <v>1850</v>
      </c>
      <c r="D726" t="s">
        <v>214</v>
      </c>
      <c r="E726" t="s">
        <v>733</v>
      </c>
      <c r="F726" t="s">
        <v>18</v>
      </c>
      <c r="G726" t="s">
        <v>19</v>
      </c>
      <c r="H726">
        <v>0</v>
      </c>
      <c r="I726">
        <v>50</v>
      </c>
      <c r="J726">
        <v>16770</v>
      </c>
      <c r="K726">
        <v>838500</v>
      </c>
      <c r="L726">
        <v>0</v>
      </c>
      <c r="M726">
        <v>838500</v>
      </c>
      <c r="N726" t="s">
        <v>1851</v>
      </c>
      <c r="O726" t="s">
        <v>680</v>
      </c>
    </row>
    <row r="727" spans="1:15" x14ac:dyDescent="0.3">
      <c r="A727" t="str">
        <f t="shared" si="11"/>
        <v>W51-0L-1319X-IV</v>
      </c>
      <c r="B727" t="s">
        <v>14</v>
      </c>
      <c r="C727" t="s">
        <v>732</v>
      </c>
      <c r="D727" t="s">
        <v>214</v>
      </c>
      <c r="E727" t="s">
        <v>733</v>
      </c>
      <c r="F727" t="s">
        <v>18</v>
      </c>
      <c r="G727" t="s">
        <v>35</v>
      </c>
      <c r="H727">
        <v>0</v>
      </c>
      <c r="I727">
        <v>200</v>
      </c>
      <c r="J727">
        <v>21740</v>
      </c>
      <c r="K727">
        <v>4348000</v>
      </c>
      <c r="L727">
        <v>0</v>
      </c>
      <c r="M727">
        <v>4348000</v>
      </c>
      <c r="N727" t="s">
        <v>731</v>
      </c>
      <c r="O727" t="s">
        <v>680</v>
      </c>
    </row>
    <row r="728" spans="1:15" x14ac:dyDescent="0.3">
      <c r="A728" t="str">
        <f t="shared" si="11"/>
        <v>W51-0L-1319X-IV</v>
      </c>
      <c r="B728" t="s">
        <v>14</v>
      </c>
      <c r="C728" t="s">
        <v>732</v>
      </c>
      <c r="D728" t="s">
        <v>214</v>
      </c>
      <c r="E728" t="s">
        <v>733</v>
      </c>
      <c r="F728" t="s">
        <v>18</v>
      </c>
      <c r="G728" t="s">
        <v>23</v>
      </c>
      <c r="H728">
        <v>0</v>
      </c>
      <c r="I728">
        <v>185</v>
      </c>
      <c r="J728">
        <v>21740</v>
      </c>
      <c r="K728">
        <v>4021900</v>
      </c>
      <c r="L728">
        <v>0</v>
      </c>
      <c r="M728">
        <v>4021900</v>
      </c>
      <c r="N728" t="s">
        <v>731</v>
      </c>
      <c r="O728" t="s">
        <v>680</v>
      </c>
    </row>
    <row r="729" spans="1:15" x14ac:dyDescent="0.3">
      <c r="A729" t="str">
        <f t="shared" si="11"/>
        <v>W51-0L-1319X-IV</v>
      </c>
      <c r="B729" t="s">
        <v>14</v>
      </c>
      <c r="C729" t="s">
        <v>732</v>
      </c>
      <c r="D729" t="s">
        <v>214</v>
      </c>
      <c r="E729" t="s">
        <v>733</v>
      </c>
      <c r="F729" t="s">
        <v>18</v>
      </c>
      <c r="G729" t="s">
        <v>68</v>
      </c>
      <c r="H729">
        <v>0</v>
      </c>
      <c r="I729">
        <v>130</v>
      </c>
      <c r="J729">
        <v>21740</v>
      </c>
      <c r="K729">
        <v>2826200</v>
      </c>
      <c r="L729">
        <v>0</v>
      </c>
      <c r="M729">
        <v>2826200</v>
      </c>
      <c r="N729" t="s">
        <v>731</v>
      </c>
      <c r="O729" t="s">
        <v>680</v>
      </c>
    </row>
    <row r="730" spans="1:15" x14ac:dyDescent="0.3">
      <c r="A730" t="str">
        <f t="shared" si="11"/>
        <v>W51-0L-1319X-IV</v>
      </c>
      <c r="B730" t="s">
        <v>14</v>
      </c>
      <c r="C730" t="s">
        <v>732</v>
      </c>
      <c r="D730" t="s">
        <v>214</v>
      </c>
      <c r="E730" t="s">
        <v>733</v>
      </c>
      <c r="F730" t="s">
        <v>18</v>
      </c>
      <c r="G730" t="s">
        <v>26</v>
      </c>
      <c r="H730">
        <v>0</v>
      </c>
      <c r="I730">
        <v>53</v>
      </c>
      <c r="J730">
        <v>21740</v>
      </c>
      <c r="K730">
        <v>1152220</v>
      </c>
      <c r="L730">
        <v>0</v>
      </c>
      <c r="M730">
        <v>1152220</v>
      </c>
      <c r="N730" t="s">
        <v>731</v>
      </c>
      <c r="O730" t="s">
        <v>680</v>
      </c>
    </row>
    <row r="731" spans="1:15" x14ac:dyDescent="0.3">
      <c r="A731" t="str">
        <f t="shared" si="11"/>
        <v>W51-0L-1319X-IV</v>
      </c>
      <c r="B731" t="s">
        <v>14</v>
      </c>
      <c r="C731" t="s">
        <v>732</v>
      </c>
      <c r="D731" t="s">
        <v>214</v>
      </c>
      <c r="E731" t="s">
        <v>733</v>
      </c>
      <c r="F731" t="s">
        <v>18</v>
      </c>
      <c r="G731" t="s">
        <v>246</v>
      </c>
      <c r="H731">
        <v>0</v>
      </c>
      <c r="I731">
        <v>650</v>
      </c>
      <c r="J731">
        <v>21740</v>
      </c>
      <c r="K731">
        <v>14131000</v>
      </c>
      <c r="L731">
        <v>0</v>
      </c>
      <c r="M731">
        <v>14131000</v>
      </c>
      <c r="N731" t="s">
        <v>731</v>
      </c>
      <c r="O731" t="s">
        <v>680</v>
      </c>
    </row>
    <row r="732" spans="1:15" x14ac:dyDescent="0.3">
      <c r="A732" t="str">
        <f t="shared" si="11"/>
        <v>W51-0L-1319X-IV</v>
      </c>
      <c r="B732" t="s">
        <v>14</v>
      </c>
      <c r="C732" t="s">
        <v>732</v>
      </c>
      <c r="D732" t="s">
        <v>214</v>
      </c>
      <c r="E732" t="s">
        <v>733</v>
      </c>
      <c r="F732" t="s">
        <v>18</v>
      </c>
      <c r="G732" t="s">
        <v>111</v>
      </c>
      <c r="H732">
        <v>0</v>
      </c>
      <c r="I732">
        <v>20</v>
      </c>
      <c r="J732">
        <v>21740</v>
      </c>
      <c r="K732">
        <v>434800</v>
      </c>
      <c r="L732">
        <v>0</v>
      </c>
      <c r="M732">
        <v>434800</v>
      </c>
      <c r="N732" t="s">
        <v>731</v>
      </c>
      <c r="O732" t="s">
        <v>680</v>
      </c>
    </row>
    <row r="733" spans="1:15" x14ac:dyDescent="0.3">
      <c r="A733" t="str">
        <f t="shared" si="11"/>
        <v>W51-0L-1319Z-IV</v>
      </c>
      <c r="B733" t="s">
        <v>14</v>
      </c>
      <c r="C733" t="s">
        <v>1852</v>
      </c>
      <c r="D733" t="s">
        <v>214</v>
      </c>
      <c r="E733" t="s">
        <v>827</v>
      </c>
      <c r="F733" t="s">
        <v>18</v>
      </c>
      <c r="G733" t="s">
        <v>248</v>
      </c>
      <c r="H733">
        <v>0</v>
      </c>
      <c r="I733">
        <v>15</v>
      </c>
      <c r="J733">
        <v>28780</v>
      </c>
      <c r="K733">
        <v>431700</v>
      </c>
      <c r="L733">
        <v>0</v>
      </c>
      <c r="M733">
        <v>431700</v>
      </c>
      <c r="N733" t="s">
        <v>731</v>
      </c>
      <c r="O733" t="s">
        <v>680</v>
      </c>
    </row>
    <row r="734" spans="1:15" x14ac:dyDescent="0.3">
      <c r="A734" t="str">
        <f t="shared" si="11"/>
        <v>W51-0L-1410-LT</v>
      </c>
      <c r="B734" t="s">
        <v>14</v>
      </c>
      <c r="C734" t="s">
        <v>734</v>
      </c>
      <c r="D734" t="s">
        <v>217</v>
      </c>
      <c r="E734" t="s">
        <v>735</v>
      </c>
      <c r="F734" t="s">
        <v>18</v>
      </c>
      <c r="G734" t="s">
        <v>23</v>
      </c>
      <c r="H734">
        <v>0</v>
      </c>
      <c r="I734">
        <v>60</v>
      </c>
      <c r="J734">
        <v>26020</v>
      </c>
      <c r="K734">
        <v>1561200</v>
      </c>
      <c r="L734">
        <v>0</v>
      </c>
      <c r="M734">
        <v>1561200</v>
      </c>
      <c r="N734" t="s">
        <v>736</v>
      </c>
      <c r="O734" t="s">
        <v>680</v>
      </c>
    </row>
    <row r="735" spans="1:15" x14ac:dyDescent="0.3">
      <c r="A735" t="str">
        <f t="shared" si="11"/>
        <v>W51-0L-1553A-WW</v>
      </c>
      <c r="B735" t="s">
        <v>14</v>
      </c>
      <c r="C735" t="s">
        <v>738</v>
      </c>
      <c r="D735" t="s">
        <v>28</v>
      </c>
      <c r="E735" t="s">
        <v>739</v>
      </c>
      <c r="F735" t="s">
        <v>18</v>
      </c>
      <c r="G735" t="s">
        <v>111</v>
      </c>
      <c r="H735">
        <v>0</v>
      </c>
      <c r="I735">
        <v>1</v>
      </c>
      <c r="J735">
        <v>45240</v>
      </c>
      <c r="K735">
        <v>45240</v>
      </c>
      <c r="L735">
        <v>0</v>
      </c>
      <c r="M735">
        <v>45240</v>
      </c>
      <c r="N735" t="s">
        <v>720</v>
      </c>
      <c r="O735" t="s">
        <v>680</v>
      </c>
    </row>
    <row r="736" spans="1:15" x14ac:dyDescent="0.3">
      <c r="A736" t="str">
        <f t="shared" si="11"/>
        <v>W51-0L-1581-LL</v>
      </c>
      <c r="B736" t="s">
        <v>14</v>
      </c>
      <c r="C736" t="s">
        <v>1853</v>
      </c>
      <c r="D736" t="s">
        <v>277</v>
      </c>
      <c r="E736" t="s">
        <v>1854</v>
      </c>
      <c r="F736" t="s">
        <v>18</v>
      </c>
      <c r="G736" t="s">
        <v>19</v>
      </c>
      <c r="H736">
        <v>0</v>
      </c>
      <c r="I736">
        <v>17</v>
      </c>
      <c r="J736">
        <v>31640</v>
      </c>
      <c r="K736">
        <v>537880</v>
      </c>
      <c r="L736">
        <v>0</v>
      </c>
      <c r="M736">
        <v>537880</v>
      </c>
      <c r="N736" t="s">
        <v>686</v>
      </c>
      <c r="O736" t="s">
        <v>680</v>
      </c>
    </row>
    <row r="737" spans="1:15" x14ac:dyDescent="0.3">
      <c r="A737" t="str">
        <f t="shared" si="11"/>
        <v>W51-0L-1751A-WW</v>
      </c>
      <c r="B737" t="s">
        <v>14</v>
      </c>
      <c r="C737" t="s">
        <v>740</v>
      </c>
      <c r="D737" t="s">
        <v>28</v>
      </c>
      <c r="E737" t="s">
        <v>741</v>
      </c>
      <c r="F737" t="s">
        <v>18</v>
      </c>
      <c r="G737" t="s">
        <v>1855</v>
      </c>
      <c r="H737">
        <v>0</v>
      </c>
      <c r="I737">
        <v>1</v>
      </c>
      <c r="J737">
        <v>16380</v>
      </c>
      <c r="K737">
        <v>16380</v>
      </c>
      <c r="L737">
        <v>0</v>
      </c>
      <c r="M737">
        <v>16380</v>
      </c>
      <c r="N737" t="s">
        <v>742</v>
      </c>
      <c r="O737" t="s">
        <v>680</v>
      </c>
    </row>
    <row r="738" spans="1:15" x14ac:dyDescent="0.3">
      <c r="A738" t="str">
        <f t="shared" si="11"/>
        <v>W51-0L-1751A-WW</v>
      </c>
      <c r="B738" t="s">
        <v>14</v>
      </c>
      <c r="C738" t="s">
        <v>740</v>
      </c>
      <c r="D738" t="s">
        <v>28</v>
      </c>
      <c r="E738" t="s">
        <v>741</v>
      </c>
      <c r="F738" t="s">
        <v>18</v>
      </c>
      <c r="G738" t="s">
        <v>210</v>
      </c>
      <c r="H738">
        <v>0</v>
      </c>
      <c r="I738">
        <v>50</v>
      </c>
      <c r="J738">
        <v>16380</v>
      </c>
      <c r="K738">
        <v>819000</v>
      </c>
      <c r="L738">
        <v>0</v>
      </c>
      <c r="M738">
        <v>819000</v>
      </c>
      <c r="N738" t="s">
        <v>742</v>
      </c>
      <c r="O738" t="s">
        <v>680</v>
      </c>
    </row>
    <row r="739" spans="1:15" x14ac:dyDescent="0.3">
      <c r="A739" t="str">
        <f t="shared" si="11"/>
        <v>W51-0L-296A-KS</v>
      </c>
      <c r="B739" t="s">
        <v>14</v>
      </c>
      <c r="C739" t="s">
        <v>1856</v>
      </c>
      <c r="D739" t="s">
        <v>1499</v>
      </c>
      <c r="E739" t="s">
        <v>1857</v>
      </c>
      <c r="F739" t="s">
        <v>18</v>
      </c>
      <c r="G739" t="s">
        <v>246</v>
      </c>
      <c r="H739">
        <v>0</v>
      </c>
      <c r="I739">
        <v>6</v>
      </c>
      <c r="J739">
        <v>25210</v>
      </c>
      <c r="K739">
        <v>151260</v>
      </c>
      <c r="L739">
        <v>0</v>
      </c>
      <c r="M739">
        <v>151260</v>
      </c>
      <c r="N739" t="s">
        <v>689</v>
      </c>
      <c r="O739" t="s">
        <v>680</v>
      </c>
    </row>
    <row r="740" spans="1:15" x14ac:dyDescent="0.3">
      <c r="A740" t="str">
        <f t="shared" si="11"/>
        <v>W51-0L-710-WW</v>
      </c>
      <c r="B740" t="s">
        <v>14</v>
      </c>
      <c r="C740" t="s">
        <v>745</v>
      </c>
      <c r="D740" t="s">
        <v>28</v>
      </c>
      <c r="E740" t="s">
        <v>746</v>
      </c>
      <c r="F740" t="s">
        <v>18</v>
      </c>
      <c r="G740" t="s">
        <v>83</v>
      </c>
      <c r="H740">
        <v>0</v>
      </c>
      <c r="I740">
        <v>780</v>
      </c>
      <c r="J740">
        <v>18640</v>
      </c>
      <c r="K740">
        <v>14539200</v>
      </c>
      <c r="L740">
        <v>0</v>
      </c>
      <c r="M740">
        <v>14539200</v>
      </c>
      <c r="N740" t="s">
        <v>727</v>
      </c>
      <c r="O740" t="s">
        <v>680</v>
      </c>
    </row>
    <row r="741" spans="1:15" x14ac:dyDescent="0.3">
      <c r="A741" t="str">
        <f t="shared" si="11"/>
        <v>W51-0L-710-WW</v>
      </c>
      <c r="B741" t="s">
        <v>14</v>
      </c>
      <c r="C741" t="s">
        <v>745</v>
      </c>
      <c r="D741" t="s">
        <v>28</v>
      </c>
      <c r="E741" t="s">
        <v>746</v>
      </c>
      <c r="F741" t="s">
        <v>18</v>
      </c>
      <c r="G741" t="s">
        <v>23</v>
      </c>
      <c r="H741">
        <v>0</v>
      </c>
      <c r="I741">
        <v>160</v>
      </c>
      <c r="J741">
        <v>18640</v>
      </c>
      <c r="K741">
        <v>2982400</v>
      </c>
      <c r="L741">
        <v>0</v>
      </c>
      <c r="M741">
        <v>2982400</v>
      </c>
      <c r="N741" t="s">
        <v>727</v>
      </c>
      <c r="O741" t="s">
        <v>680</v>
      </c>
    </row>
    <row r="742" spans="1:15" x14ac:dyDescent="0.3">
      <c r="A742" t="str">
        <f t="shared" si="11"/>
        <v>W51-0L-710-WW</v>
      </c>
      <c r="B742" t="s">
        <v>14</v>
      </c>
      <c r="C742" t="s">
        <v>745</v>
      </c>
      <c r="D742" t="s">
        <v>28</v>
      </c>
      <c r="E742" t="s">
        <v>746</v>
      </c>
      <c r="F742" t="s">
        <v>18</v>
      </c>
      <c r="G742" t="s">
        <v>26</v>
      </c>
      <c r="H742">
        <v>0</v>
      </c>
      <c r="I742">
        <v>30</v>
      </c>
      <c r="J742">
        <v>18640</v>
      </c>
      <c r="K742">
        <v>559200</v>
      </c>
      <c r="L742">
        <v>0</v>
      </c>
      <c r="M742">
        <v>559200</v>
      </c>
      <c r="N742" t="s">
        <v>727</v>
      </c>
      <c r="O742" t="s">
        <v>680</v>
      </c>
    </row>
    <row r="743" spans="1:15" x14ac:dyDescent="0.3">
      <c r="A743" t="str">
        <f t="shared" si="11"/>
        <v>W51-0L-716B-IV</v>
      </c>
      <c r="B743" t="s">
        <v>14</v>
      </c>
      <c r="C743" t="s">
        <v>747</v>
      </c>
      <c r="D743" t="s">
        <v>214</v>
      </c>
      <c r="E743" t="s">
        <v>748</v>
      </c>
      <c r="F743" t="s">
        <v>18</v>
      </c>
      <c r="G743" t="s">
        <v>23</v>
      </c>
      <c r="H743">
        <v>0</v>
      </c>
      <c r="I743">
        <v>205</v>
      </c>
      <c r="J743">
        <v>19370</v>
      </c>
      <c r="K743">
        <v>3970850</v>
      </c>
      <c r="L743">
        <v>0</v>
      </c>
      <c r="M743">
        <v>3970850</v>
      </c>
      <c r="N743" t="s">
        <v>749</v>
      </c>
      <c r="O743" t="s">
        <v>680</v>
      </c>
    </row>
    <row r="744" spans="1:15" x14ac:dyDescent="0.3">
      <c r="A744" t="str">
        <f t="shared" si="11"/>
        <v>W51-0L-716B-IV</v>
      </c>
      <c r="B744" t="s">
        <v>14</v>
      </c>
      <c r="C744" t="s">
        <v>747</v>
      </c>
      <c r="D744" t="s">
        <v>214</v>
      </c>
      <c r="E744" t="s">
        <v>748</v>
      </c>
      <c r="F744" t="s">
        <v>18</v>
      </c>
      <c r="G744" t="s">
        <v>68</v>
      </c>
      <c r="H744">
        <v>0</v>
      </c>
      <c r="I744">
        <v>1151</v>
      </c>
      <c r="J744">
        <v>19370</v>
      </c>
      <c r="K744">
        <v>22294870</v>
      </c>
      <c r="L744">
        <v>0</v>
      </c>
      <c r="M744">
        <v>22294870</v>
      </c>
      <c r="N744" t="s">
        <v>749</v>
      </c>
      <c r="O744" t="s">
        <v>680</v>
      </c>
    </row>
    <row r="745" spans="1:15" x14ac:dyDescent="0.3">
      <c r="A745" t="str">
        <f t="shared" si="11"/>
        <v>W51-0L-716B-IV</v>
      </c>
      <c r="B745" t="s">
        <v>14</v>
      </c>
      <c r="C745" t="s">
        <v>747</v>
      </c>
      <c r="D745" t="s">
        <v>214</v>
      </c>
      <c r="E745" t="s">
        <v>748</v>
      </c>
      <c r="F745" t="s">
        <v>18</v>
      </c>
      <c r="G745" t="s">
        <v>111</v>
      </c>
      <c r="H745">
        <v>0</v>
      </c>
      <c r="I745">
        <v>40</v>
      </c>
      <c r="J745">
        <v>19370</v>
      </c>
      <c r="K745">
        <v>774800</v>
      </c>
      <c r="L745">
        <v>0</v>
      </c>
      <c r="M745">
        <v>774800</v>
      </c>
      <c r="N745" t="s">
        <v>749</v>
      </c>
      <c r="O745" t="s">
        <v>680</v>
      </c>
    </row>
    <row r="746" spans="1:15" x14ac:dyDescent="0.3">
      <c r="A746" t="str">
        <f t="shared" si="11"/>
        <v>W51-0L-804C-BK</v>
      </c>
      <c r="B746" t="s">
        <v>14</v>
      </c>
      <c r="C746" t="s">
        <v>1858</v>
      </c>
      <c r="D746" t="s">
        <v>31</v>
      </c>
      <c r="E746" t="s">
        <v>1859</v>
      </c>
      <c r="F746" t="s">
        <v>18</v>
      </c>
      <c r="G746" t="s">
        <v>1855</v>
      </c>
      <c r="H746">
        <v>0</v>
      </c>
      <c r="I746">
        <v>1</v>
      </c>
      <c r="J746">
        <v>32200</v>
      </c>
      <c r="K746">
        <v>32200</v>
      </c>
      <c r="L746">
        <v>0</v>
      </c>
      <c r="M746">
        <v>32200</v>
      </c>
      <c r="N746" t="s">
        <v>686</v>
      </c>
      <c r="O746" t="s">
        <v>680</v>
      </c>
    </row>
    <row r="747" spans="1:15" x14ac:dyDescent="0.3">
      <c r="A747" t="str">
        <f t="shared" si="11"/>
        <v>W51-0L-804C-BK</v>
      </c>
      <c r="B747" t="s">
        <v>14</v>
      </c>
      <c r="C747" t="s">
        <v>1858</v>
      </c>
      <c r="D747" t="s">
        <v>31</v>
      </c>
      <c r="E747" t="s">
        <v>1859</v>
      </c>
      <c r="F747" t="s">
        <v>18</v>
      </c>
      <c r="G747" t="s">
        <v>26</v>
      </c>
      <c r="H747">
        <v>0</v>
      </c>
      <c r="I747">
        <v>1</v>
      </c>
      <c r="J747">
        <v>32200</v>
      </c>
      <c r="K747">
        <v>32200</v>
      </c>
      <c r="L747">
        <v>0</v>
      </c>
      <c r="M747">
        <v>32200</v>
      </c>
      <c r="N747" t="s">
        <v>686</v>
      </c>
      <c r="O747" t="s">
        <v>680</v>
      </c>
    </row>
    <row r="748" spans="1:15" x14ac:dyDescent="0.3">
      <c r="A748" t="str">
        <f t="shared" si="11"/>
        <v>W51-0L-804E-BK</v>
      </c>
      <c r="B748" t="s">
        <v>14</v>
      </c>
      <c r="C748" t="s">
        <v>750</v>
      </c>
      <c r="D748" t="s">
        <v>31</v>
      </c>
      <c r="E748" t="s">
        <v>751</v>
      </c>
      <c r="F748" t="s">
        <v>18</v>
      </c>
      <c r="G748" t="s">
        <v>284</v>
      </c>
      <c r="H748">
        <v>0</v>
      </c>
      <c r="I748">
        <v>30</v>
      </c>
      <c r="J748">
        <v>20090</v>
      </c>
      <c r="K748">
        <v>602700</v>
      </c>
      <c r="L748">
        <v>0</v>
      </c>
      <c r="M748">
        <v>602700</v>
      </c>
      <c r="N748" t="s">
        <v>697</v>
      </c>
      <c r="O748" t="s">
        <v>680</v>
      </c>
    </row>
    <row r="749" spans="1:15" x14ac:dyDescent="0.3">
      <c r="A749" t="str">
        <f t="shared" si="11"/>
        <v>W51-0L-804E-BK</v>
      </c>
      <c r="B749" t="s">
        <v>14</v>
      </c>
      <c r="C749" t="s">
        <v>750</v>
      </c>
      <c r="D749" t="s">
        <v>31</v>
      </c>
      <c r="E749" t="s">
        <v>751</v>
      </c>
      <c r="F749" t="s">
        <v>18</v>
      </c>
      <c r="G749" t="s">
        <v>818</v>
      </c>
      <c r="H749">
        <v>0</v>
      </c>
      <c r="I749">
        <v>20</v>
      </c>
      <c r="J749">
        <v>19750</v>
      </c>
      <c r="K749">
        <v>395000</v>
      </c>
      <c r="L749">
        <v>0</v>
      </c>
      <c r="M749">
        <v>395000</v>
      </c>
      <c r="N749" t="s">
        <v>697</v>
      </c>
      <c r="O749" t="s">
        <v>680</v>
      </c>
    </row>
    <row r="750" spans="1:15" x14ac:dyDescent="0.3">
      <c r="A750" t="str">
        <f t="shared" si="11"/>
        <v>W51-0L-804E-BK</v>
      </c>
      <c r="B750" t="s">
        <v>14</v>
      </c>
      <c r="C750" t="s">
        <v>750</v>
      </c>
      <c r="D750" t="s">
        <v>31</v>
      </c>
      <c r="E750" t="s">
        <v>751</v>
      </c>
      <c r="F750" t="s">
        <v>18</v>
      </c>
      <c r="G750" t="s">
        <v>284</v>
      </c>
      <c r="H750">
        <v>0</v>
      </c>
      <c r="I750">
        <v>30</v>
      </c>
      <c r="J750">
        <v>19750</v>
      </c>
      <c r="K750">
        <v>592500</v>
      </c>
      <c r="L750">
        <v>0</v>
      </c>
      <c r="M750">
        <v>592500</v>
      </c>
      <c r="N750" t="s">
        <v>697</v>
      </c>
      <c r="O750" t="s">
        <v>680</v>
      </c>
    </row>
    <row r="751" spans="1:15" x14ac:dyDescent="0.3">
      <c r="A751" t="str">
        <f t="shared" si="11"/>
        <v>W51-0L-804E-BK</v>
      </c>
      <c r="B751" t="s">
        <v>14</v>
      </c>
      <c r="C751" t="s">
        <v>750</v>
      </c>
      <c r="D751" t="s">
        <v>31</v>
      </c>
      <c r="E751" t="s">
        <v>751</v>
      </c>
      <c r="F751" t="s">
        <v>18</v>
      </c>
      <c r="G751" t="s">
        <v>19</v>
      </c>
      <c r="H751">
        <v>0</v>
      </c>
      <c r="I751">
        <v>77</v>
      </c>
      <c r="J751">
        <v>19750</v>
      </c>
      <c r="K751">
        <v>1520750</v>
      </c>
      <c r="L751">
        <v>0</v>
      </c>
      <c r="M751">
        <v>1520750</v>
      </c>
      <c r="N751" t="s">
        <v>697</v>
      </c>
      <c r="O751" t="s">
        <v>680</v>
      </c>
    </row>
    <row r="752" spans="1:15" x14ac:dyDescent="0.3">
      <c r="A752" t="str">
        <f t="shared" si="11"/>
        <v>W51-0L-804E-BK</v>
      </c>
      <c r="B752" t="s">
        <v>14</v>
      </c>
      <c r="C752" t="s">
        <v>750</v>
      </c>
      <c r="D752" t="s">
        <v>31</v>
      </c>
      <c r="E752" t="s">
        <v>751</v>
      </c>
      <c r="F752" t="s">
        <v>18</v>
      </c>
      <c r="G752" t="s">
        <v>26</v>
      </c>
      <c r="H752">
        <v>0</v>
      </c>
      <c r="I752">
        <v>1</v>
      </c>
      <c r="J752">
        <v>19750</v>
      </c>
      <c r="K752">
        <v>19750</v>
      </c>
      <c r="L752">
        <v>0</v>
      </c>
      <c r="M752">
        <v>19750</v>
      </c>
      <c r="N752" t="s">
        <v>697</v>
      </c>
      <c r="O752" t="s">
        <v>680</v>
      </c>
    </row>
    <row r="753" spans="1:15" x14ac:dyDescent="0.3">
      <c r="A753" t="str">
        <f t="shared" si="11"/>
        <v>W51-0L-808D-FIV</v>
      </c>
      <c r="B753" t="s">
        <v>14</v>
      </c>
      <c r="C753" t="s">
        <v>753</v>
      </c>
      <c r="D753" t="s">
        <v>195</v>
      </c>
      <c r="E753" t="s">
        <v>752</v>
      </c>
      <c r="F753" t="s">
        <v>18</v>
      </c>
      <c r="G753" t="s">
        <v>239</v>
      </c>
      <c r="H753">
        <v>0</v>
      </c>
      <c r="I753">
        <v>80</v>
      </c>
      <c r="J753">
        <v>20070</v>
      </c>
      <c r="K753">
        <v>1605600</v>
      </c>
      <c r="L753">
        <v>0</v>
      </c>
      <c r="M753">
        <v>1605600</v>
      </c>
      <c r="N753" t="s">
        <v>679</v>
      </c>
      <c r="O753" t="s">
        <v>680</v>
      </c>
    </row>
    <row r="754" spans="1:15" x14ac:dyDescent="0.3">
      <c r="A754" t="str">
        <f t="shared" si="11"/>
        <v>W51-0L-809A-ML</v>
      </c>
      <c r="B754" t="s">
        <v>14</v>
      </c>
      <c r="C754" t="s">
        <v>754</v>
      </c>
      <c r="D754" t="s">
        <v>755</v>
      </c>
      <c r="E754" t="s">
        <v>756</v>
      </c>
      <c r="F754" t="s">
        <v>18</v>
      </c>
      <c r="G754" t="s">
        <v>63</v>
      </c>
      <c r="H754">
        <v>0</v>
      </c>
      <c r="I754">
        <v>20</v>
      </c>
      <c r="J754">
        <v>22490</v>
      </c>
      <c r="K754">
        <v>449800</v>
      </c>
      <c r="L754">
        <v>0</v>
      </c>
      <c r="M754">
        <v>449800</v>
      </c>
      <c r="N754" t="s">
        <v>757</v>
      </c>
      <c r="O754" t="s">
        <v>680</v>
      </c>
    </row>
    <row r="755" spans="1:15" x14ac:dyDescent="0.3">
      <c r="A755" t="str">
        <f t="shared" si="11"/>
        <v>W51-0L-811F-LUW</v>
      </c>
      <c r="B755" t="s">
        <v>14</v>
      </c>
      <c r="C755" t="s">
        <v>758</v>
      </c>
      <c r="D755" t="s">
        <v>759</v>
      </c>
      <c r="E755" t="s">
        <v>760</v>
      </c>
      <c r="F755" t="s">
        <v>18</v>
      </c>
      <c r="G755" t="s">
        <v>83</v>
      </c>
      <c r="H755">
        <v>0</v>
      </c>
      <c r="I755">
        <v>30</v>
      </c>
      <c r="J755">
        <v>19880</v>
      </c>
      <c r="K755">
        <v>596400</v>
      </c>
      <c r="L755">
        <v>0</v>
      </c>
      <c r="M755">
        <v>596400</v>
      </c>
      <c r="N755" t="s">
        <v>727</v>
      </c>
      <c r="O755" t="s">
        <v>680</v>
      </c>
    </row>
    <row r="756" spans="1:15" x14ac:dyDescent="0.3">
      <c r="A756" t="str">
        <f t="shared" si="11"/>
        <v>W51-0L-811F-LUW</v>
      </c>
      <c r="B756" t="s">
        <v>14</v>
      </c>
      <c r="C756" t="s">
        <v>758</v>
      </c>
      <c r="D756" t="s">
        <v>759</v>
      </c>
      <c r="E756" t="s">
        <v>760</v>
      </c>
      <c r="F756" t="s">
        <v>18</v>
      </c>
      <c r="G756" t="s">
        <v>68</v>
      </c>
      <c r="H756">
        <v>0</v>
      </c>
      <c r="I756">
        <v>20</v>
      </c>
      <c r="J756">
        <v>19880</v>
      </c>
      <c r="K756">
        <v>397600</v>
      </c>
      <c r="L756">
        <v>0</v>
      </c>
      <c r="M756">
        <v>397600</v>
      </c>
      <c r="N756" t="s">
        <v>727</v>
      </c>
      <c r="O756" t="s">
        <v>680</v>
      </c>
    </row>
    <row r="757" spans="1:15" x14ac:dyDescent="0.3">
      <c r="A757" t="str">
        <f t="shared" si="11"/>
        <v>W51-0L-811G-LUW</v>
      </c>
      <c r="B757" t="s">
        <v>14</v>
      </c>
      <c r="C757" t="s">
        <v>761</v>
      </c>
      <c r="D757" t="s">
        <v>759</v>
      </c>
      <c r="E757" t="s">
        <v>762</v>
      </c>
      <c r="F757" t="s">
        <v>18</v>
      </c>
      <c r="G757" t="s">
        <v>83</v>
      </c>
      <c r="H757">
        <v>0</v>
      </c>
      <c r="I757">
        <v>20</v>
      </c>
      <c r="J757">
        <v>22250</v>
      </c>
      <c r="K757">
        <v>445000</v>
      </c>
      <c r="L757">
        <v>0</v>
      </c>
      <c r="M757">
        <v>445000</v>
      </c>
      <c r="N757" t="s">
        <v>683</v>
      </c>
      <c r="O757" t="s">
        <v>680</v>
      </c>
    </row>
    <row r="758" spans="1:15" x14ac:dyDescent="0.3">
      <c r="A758" t="str">
        <f t="shared" si="11"/>
        <v>W51-0L-813D-GYM</v>
      </c>
      <c r="B758" t="s">
        <v>14</v>
      </c>
      <c r="C758" t="s">
        <v>763</v>
      </c>
      <c r="D758" t="s">
        <v>570</v>
      </c>
      <c r="E758" t="s">
        <v>764</v>
      </c>
      <c r="F758" t="s">
        <v>18</v>
      </c>
      <c r="G758" t="s">
        <v>210</v>
      </c>
      <c r="H758">
        <v>0</v>
      </c>
      <c r="I758">
        <v>2</v>
      </c>
      <c r="J758">
        <v>29990</v>
      </c>
      <c r="K758">
        <v>59980</v>
      </c>
      <c r="L758">
        <v>0</v>
      </c>
      <c r="M758">
        <v>59980</v>
      </c>
      <c r="N758" t="s">
        <v>686</v>
      </c>
      <c r="O758" t="s">
        <v>680</v>
      </c>
    </row>
    <row r="759" spans="1:15" x14ac:dyDescent="0.3">
      <c r="A759" t="str">
        <f t="shared" si="11"/>
        <v>W51-0L-813D-GYM</v>
      </c>
      <c r="B759" t="s">
        <v>14</v>
      </c>
      <c r="C759" t="s">
        <v>763</v>
      </c>
      <c r="D759" t="s">
        <v>570</v>
      </c>
      <c r="E759" t="s">
        <v>764</v>
      </c>
      <c r="F759" t="s">
        <v>18</v>
      </c>
      <c r="G759" t="s">
        <v>111</v>
      </c>
      <c r="H759">
        <v>0</v>
      </c>
      <c r="I759">
        <v>47</v>
      </c>
      <c r="J759">
        <v>29990</v>
      </c>
      <c r="K759">
        <v>1409530</v>
      </c>
      <c r="L759">
        <v>0</v>
      </c>
      <c r="M759">
        <v>1409530</v>
      </c>
      <c r="N759" t="s">
        <v>686</v>
      </c>
      <c r="O759" t="s">
        <v>680</v>
      </c>
    </row>
    <row r="760" spans="1:15" x14ac:dyDescent="0.3">
      <c r="A760" t="str">
        <f t="shared" si="11"/>
        <v>W51-0L-867E-IV</v>
      </c>
      <c r="B760" t="s">
        <v>14</v>
      </c>
      <c r="C760" t="s">
        <v>765</v>
      </c>
      <c r="D760" t="s">
        <v>214</v>
      </c>
      <c r="E760" t="s">
        <v>766</v>
      </c>
      <c r="F760" t="s">
        <v>18</v>
      </c>
      <c r="G760" t="s">
        <v>111</v>
      </c>
      <c r="H760">
        <v>0</v>
      </c>
      <c r="I760">
        <v>22</v>
      </c>
      <c r="J760">
        <v>24790</v>
      </c>
      <c r="K760">
        <v>545380</v>
      </c>
      <c r="L760">
        <v>0</v>
      </c>
      <c r="M760">
        <v>545380</v>
      </c>
      <c r="N760" t="s">
        <v>711</v>
      </c>
      <c r="O760" t="s">
        <v>680</v>
      </c>
    </row>
    <row r="761" spans="1:15" x14ac:dyDescent="0.3">
      <c r="A761" t="str">
        <f t="shared" si="11"/>
        <v>W51-0L-867E-IV</v>
      </c>
      <c r="B761" t="s">
        <v>14</v>
      </c>
      <c r="C761" t="s">
        <v>765</v>
      </c>
      <c r="D761" t="s">
        <v>214</v>
      </c>
      <c r="E761" t="s">
        <v>766</v>
      </c>
      <c r="F761" t="s">
        <v>18</v>
      </c>
      <c r="G761" t="s">
        <v>210</v>
      </c>
      <c r="H761">
        <v>0</v>
      </c>
      <c r="I761">
        <v>80</v>
      </c>
      <c r="J761">
        <v>24790</v>
      </c>
      <c r="K761">
        <v>1983200</v>
      </c>
      <c r="L761">
        <v>0</v>
      </c>
      <c r="M761">
        <v>1983200</v>
      </c>
      <c r="N761" t="s">
        <v>711</v>
      </c>
      <c r="O761" t="s">
        <v>680</v>
      </c>
    </row>
    <row r="762" spans="1:15" x14ac:dyDescent="0.3">
      <c r="A762" t="str">
        <f t="shared" si="11"/>
        <v>W51-0L-867E-IV</v>
      </c>
      <c r="B762" t="s">
        <v>14</v>
      </c>
      <c r="C762" t="s">
        <v>765</v>
      </c>
      <c r="D762" t="s">
        <v>214</v>
      </c>
      <c r="E762" t="s">
        <v>766</v>
      </c>
      <c r="F762" t="s">
        <v>18</v>
      </c>
      <c r="G762" t="s">
        <v>26</v>
      </c>
      <c r="H762">
        <v>0</v>
      </c>
      <c r="I762">
        <v>68</v>
      </c>
      <c r="J762">
        <v>24790</v>
      </c>
      <c r="K762">
        <v>1685720</v>
      </c>
      <c r="L762">
        <v>0</v>
      </c>
      <c r="M762">
        <v>1685720</v>
      </c>
      <c r="N762" t="s">
        <v>711</v>
      </c>
      <c r="O762" t="s">
        <v>680</v>
      </c>
    </row>
    <row r="763" spans="1:15" x14ac:dyDescent="0.3">
      <c r="A763" t="str">
        <f t="shared" si="11"/>
        <v>W51-0L-867E-IV</v>
      </c>
      <c r="B763" t="s">
        <v>14</v>
      </c>
      <c r="C763" t="s">
        <v>765</v>
      </c>
      <c r="D763" t="s">
        <v>214</v>
      </c>
      <c r="E763" t="s">
        <v>766</v>
      </c>
      <c r="F763" t="s">
        <v>18</v>
      </c>
      <c r="G763" t="s">
        <v>246</v>
      </c>
      <c r="H763">
        <v>0</v>
      </c>
      <c r="I763">
        <v>480</v>
      </c>
      <c r="J763">
        <v>24790</v>
      </c>
      <c r="K763">
        <v>11899200</v>
      </c>
      <c r="L763">
        <v>0</v>
      </c>
      <c r="M763">
        <v>11899200</v>
      </c>
      <c r="N763" t="s">
        <v>711</v>
      </c>
      <c r="O763" t="s">
        <v>680</v>
      </c>
    </row>
    <row r="764" spans="1:15" x14ac:dyDescent="0.3">
      <c r="A764" t="str">
        <f t="shared" si="11"/>
        <v>W51-0L-867E-IV</v>
      </c>
      <c r="B764" t="s">
        <v>14</v>
      </c>
      <c r="C764" t="s">
        <v>765</v>
      </c>
      <c r="D764" t="s">
        <v>214</v>
      </c>
      <c r="E764" t="s">
        <v>766</v>
      </c>
      <c r="F764" t="s">
        <v>18</v>
      </c>
      <c r="G764" t="s">
        <v>83</v>
      </c>
      <c r="H764">
        <v>0</v>
      </c>
      <c r="I764">
        <v>400</v>
      </c>
      <c r="J764">
        <v>24790</v>
      </c>
      <c r="K764">
        <v>9916000</v>
      </c>
      <c r="L764">
        <v>0</v>
      </c>
      <c r="M764">
        <v>9916000</v>
      </c>
      <c r="N764" t="s">
        <v>711</v>
      </c>
      <c r="O764" t="s">
        <v>680</v>
      </c>
    </row>
    <row r="765" spans="1:15" x14ac:dyDescent="0.3">
      <c r="A765" t="str">
        <f t="shared" si="11"/>
        <v>W51-0L-867E-IV</v>
      </c>
      <c r="B765" t="s">
        <v>14</v>
      </c>
      <c r="C765" t="s">
        <v>765</v>
      </c>
      <c r="D765" t="s">
        <v>214</v>
      </c>
      <c r="E765" t="s">
        <v>766</v>
      </c>
      <c r="F765" t="s">
        <v>18</v>
      </c>
      <c r="G765" t="s">
        <v>68</v>
      </c>
      <c r="H765">
        <v>0</v>
      </c>
      <c r="I765">
        <v>460</v>
      </c>
      <c r="J765">
        <v>24790</v>
      </c>
      <c r="K765">
        <v>11403400</v>
      </c>
      <c r="L765">
        <v>0</v>
      </c>
      <c r="M765">
        <v>11403400</v>
      </c>
      <c r="N765" t="s">
        <v>711</v>
      </c>
      <c r="O765" t="s">
        <v>680</v>
      </c>
    </row>
    <row r="766" spans="1:15" x14ac:dyDescent="0.3">
      <c r="A766" t="str">
        <f t="shared" si="11"/>
        <v>W52-0L-0018C-FK</v>
      </c>
      <c r="B766" t="s">
        <v>14</v>
      </c>
      <c r="C766" t="s">
        <v>1860</v>
      </c>
      <c r="D766" t="s">
        <v>229</v>
      </c>
      <c r="E766" t="s">
        <v>1861</v>
      </c>
      <c r="F766" t="s">
        <v>18</v>
      </c>
      <c r="G766" t="s">
        <v>1855</v>
      </c>
      <c r="H766">
        <v>0</v>
      </c>
      <c r="I766">
        <v>1</v>
      </c>
      <c r="J766">
        <v>46230</v>
      </c>
      <c r="K766">
        <v>46230</v>
      </c>
      <c r="L766">
        <v>0</v>
      </c>
      <c r="M766">
        <v>46230</v>
      </c>
      <c r="N766" t="s">
        <v>686</v>
      </c>
      <c r="O766" t="s">
        <v>680</v>
      </c>
    </row>
    <row r="767" spans="1:15" x14ac:dyDescent="0.3">
      <c r="A767" t="str">
        <f t="shared" si="11"/>
        <v>W52-0L-0019-WP</v>
      </c>
      <c r="B767" t="s">
        <v>14</v>
      </c>
      <c r="C767" t="s">
        <v>1862</v>
      </c>
      <c r="D767" t="s">
        <v>804</v>
      </c>
      <c r="E767" t="s">
        <v>892</v>
      </c>
      <c r="F767" t="s">
        <v>18</v>
      </c>
      <c r="G767" t="s">
        <v>49</v>
      </c>
      <c r="H767">
        <v>0</v>
      </c>
      <c r="I767">
        <v>50</v>
      </c>
      <c r="J767">
        <v>20890</v>
      </c>
      <c r="K767">
        <v>1044500</v>
      </c>
      <c r="L767">
        <v>0</v>
      </c>
      <c r="M767">
        <v>1044500</v>
      </c>
      <c r="N767" t="s">
        <v>727</v>
      </c>
      <c r="O767" t="s">
        <v>680</v>
      </c>
    </row>
    <row r="768" spans="1:15" x14ac:dyDescent="0.3">
      <c r="A768" t="str">
        <f t="shared" si="11"/>
        <v>W52-0L-0043-RCN</v>
      </c>
      <c r="B768" t="s">
        <v>14</v>
      </c>
      <c r="C768" t="s">
        <v>1863</v>
      </c>
      <c r="D768" t="s">
        <v>253</v>
      </c>
      <c r="E768" t="s">
        <v>970</v>
      </c>
      <c r="F768" t="s">
        <v>18</v>
      </c>
      <c r="G768" t="s">
        <v>83</v>
      </c>
      <c r="H768">
        <v>0</v>
      </c>
      <c r="I768">
        <v>36</v>
      </c>
      <c r="J768">
        <v>23510</v>
      </c>
      <c r="K768">
        <v>846360</v>
      </c>
      <c r="L768">
        <v>0</v>
      </c>
      <c r="M768">
        <v>846360</v>
      </c>
      <c r="N768" t="s">
        <v>1864</v>
      </c>
      <c r="O768" t="s">
        <v>680</v>
      </c>
    </row>
    <row r="769" spans="1:15" x14ac:dyDescent="0.3">
      <c r="A769" t="str">
        <f t="shared" si="11"/>
        <v>W52-0L-0044-RCN</v>
      </c>
      <c r="B769" t="s">
        <v>14</v>
      </c>
      <c r="C769" t="s">
        <v>770</v>
      </c>
      <c r="D769" t="s">
        <v>253</v>
      </c>
      <c r="E769" t="s">
        <v>771</v>
      </c>
      <c r="F769" t="s">
        <v>18</v>
      </c>
      <c r="G769" t="s">
        <v>26</v>
      </c>
      <c r="H769">
        <v>0</v>
      </c>
      <c r="I769">
        <v>284</v>
      </c>
      <c r="J769">
        <v>21140</v>
      </c>
      <c r="K769">
        <v>6003760</v>
      </c>
      <c r="L769">
        <v>0</v>
      </c>
      <c r="M769">
        <v>6003760</v>
      </c>
      <c r="N769" t="s">
        <v>772</v>
      </c>
      <c r="O769" t="s">
        <v>680</v>
      </c>
    </row>
    <row r="770" spans="1:15" x14ac:dyDescent="0.3">
      <c r="A770" t="str">
        <f t="shared" si="11"/>
        <v>W52-0L-1011-WW</v>
      </c>
      <c r="B770" t="s">
        <v>14</v>
      </c>
      <c r="C770" t="s">
        <v>1865</v>
      </c>
      <c r="D770" t="s">
        <v>28</v>
      </c>
      <c r="E770" t="s">
        <v>1866</v>
      </c>
      <c r="F770" t="s">
        <v>18</v>
      </c>
      <c r="G770" t="s">
        <v>35</v>
      </c>
      <c r="H770">
        <v>0</v>
      </c>
      <c r="I770">
        <v>10</v>
      </c>
      <c r="J770">
        <v>30530</v>
      </c>
      <c r="K770">
        <v>305300</v>
      </c>
      <c r="L770">
        <v>0</v>
      </c>
      <c r="M770">
        <v>305300</v>
      </c>
      <c r="N770" t="s">
        <v>683</v>
      </c>
      <c r="O770" t="s">
        <v>680</v>
      </c>
    </row>
    <row r="771" spans="1:15" x14ac:dyDescent="0.3">
      <c r="A771" t="str">
        <f t="shared" ref="A771:A834" si="12">C771&amp;"-"&amp;D771</f>
        <v>W52-0L-1012A-IV</v>
      </c>
      <c r="B771" t="s">
        <v>14</v>
      </c>
      <c r="C771" t="s">
        <v>1867</v>
      </c>
      <c r="D771" t="s">
        <v>214</v>
      </c>
      <c r="E771" t="s">
        <v>1868</v>
      </c>
      <c r="F771" t="s">
        <v>18</v>
      </c>
      <c r="G771" t="s">
        <v>19</v>
      </c>
      <c r="H771">
        <v>0</v>
      </c>
      <c r="I771">
        <v>100</v>
      </c>
      <c r="J771">
        <v>21430</v>
      </c>
      <c r="K771">
        <v>2143000</v>
      </c>
      <c r="L771">
        <v>0</v>
      </c>
      <c r="M771">
        <v>2143000</v>
      </c>
      <c r="N771" t="s">
        <v>1869</v>
      </c>
      <c r="O771" t="s">
        <v>680</v>
      </c>
    </row>
    <row r="772" spans="1:15" x14ac:dyDescent="0.3">
      <c r="A772" t="str">
        <f t="shared" si="12"/>
        <v>W52-0L-1113-NCC</v>
      </c>
      <c r="B772" t="s">
        <v>14</v>
      </c>
      <c r="C772" t="s">
        <v>773</v>
      </c>
      <c r="D772" t="s">
        <v>220</v>
      </c>
      <c r="E772" t="s">
        <v>774</v>
      </c>
      <c r="F772" t="s">
        <v>18</v>
      </c>
      <c r="G772" t="s">
        <v>210</v>
      </c>
      <c r="H772">
        <v>0</v>
      </c>
      <c r="I772">
        <v>60</v>
      </c>
      <c r="J772">
        <v>19960</v>
      </c>
      <c r="K772">
        <v>1197600</v>
      </c>
      <c r="L772">
        <v>0</v>
      </c>
      <c r="M772">
        <v>1197600</v>
      </c>
      <c r="N772" t="s">
        <v>727</v>
      </c>
      <c r="O772" t="s">
        <v>680</v>
      </c>
    </row>
    <row r="773" spans="1:15" x14ac:dyDescent="0.3">
      <c r="A773" t="str">
        <f t="shared" si="12"/>
        <v>W52-0L-1115-NCC</v>
      </c>
      <c r="B773" t="s">
        <v>14</v>
      </c>
      <c r="C773" t="s">
        <v>775</v>
      </c>
      <c r="D773" t="s">
        <v>220</v>
      </c>
      <c r="E773" t="s">
        <v>776</v>
      </c>
      <c r="F773" t="s">
        <v>18</v>
      </c>
      <c r="G773" t="s">
        <v>210</v>
      </c>
      <c r="H773">
        <v>0</v>
      </c>
      <c r="I773">
        <v>270</v>
      </c>
      <c r="J773">
        <v>25370</v>
      </c>
      <c r="K773">
        <v>6849900</v>
      </c>
      <c r="L773">
        <v>0</v>
      </c>
      <c r="M773">
        <v>6849900</v>
      </c>
      <c r="N773" t="s">
        <v>689</v>
      </c>
      <c r="O773" t="s">
        <v>680</v>
      </c>
    </row>
    <row r="774" spans="1:15" x14ac:dyDescent="0.3">
      <c r="A774" t="str">
        <f t="shared" si="12"/>
        <v>W52-0L-1115-NCC</v>
      </c>
      <c r="B774" t="s">
        <v>14</v>
      </c>
      <c r="C774" t="s">
        <v>775</v>
      </c>
      <c r="D774" t="s">
        <v>220</v>
      </c>
      <c r="E774" t="s">
        <v>776</v>
      </c>
      <c r="F774" t="s">
        <v>18</v>
      </c>
      <c r="G774" t="s">
        <v>246</v>
      </c>
      <c r="H774">
        <v>0</v>
      </c>
      <c r="I774">
        <v>160</v>
      </c>
      <c r="J774">
        <v>25370</v>
      </c>
      <c r="K774">
        <v>4059200</v>
      </c>
      <c r="L774">
        <v>0</v>
      </c>
      <c r="M774">
        <v>4059200</v>
      </c>
      <c r="N774" t="s">
        <v>689</v>
      </c>
      <c r="O774" t="s">
        <v>680</v>
      </c>
    </row>
    <row r="775" spans="1:15" x14ac:dyDescent="0.3">
      <c r="A775" t="str">
        <f t="shared" si="12"/>
        <v>W52-0L-1121-GG</v>
      </c>
      <c r="B775" t="s">
        <v>14</v>
      </c>
      <c r="C775" t="s">
        <v>777</v>
      </c>
      <c r="D775" t="s">
        <v>589</v>
      </c>
      <c r="E775" t="s">
        <v>778</v>
      </c>
      <c r="F775" t="s">
        <v>18</v>
      </c>
      <c r="G775" t="s">
        <v>111</v>
      </c>
      <c r="H775">
        <v>0</v>
      </c>
      <c r="I775">
        <v>20</v>
      </c>
      <c r="J775">
        <v>19790</v>
      </c>
      <c r="K775">
        <v>395800</v>
      </c>
      <c r="L775">
        <v>0</v>
      </c>
      <c r="M775">
        <v>395800</v>
      </c>
      <c r="N775" t="s">
        <v>727</v>
      </c>
      <c r="O775" t="s">
        <v>680</v>
      </c>
    </row>
    <row r="776" spans="1:15" x14ac:dyDescent="0.3">
      <c r="A776" t="str">
        <f t="shared" si="12"/>
        <v>W52-0L-1121-GG</v>
      </c>
      <c r="B776" t="s">
        <v>14</v>
      </c>
      <c r="C776" t="s">
        <v>777</v>
      </c>
      <c r="D776" t="s">
        <v>589</v>
      </c>
      <c r="E776" t="s">
        <v>778</v>
      </c>
      <c r="F776" t="s">
        <v>18</v>
      </c>
      <c r="G776" t="s">
        <v>35</v>
      </c>
      <c r="H776">
        <v>0</v>
      </c>
      <c r="I776">
        <v>1</v>
      </c>
      <c r="J776">
        <v>19790</v>
      </c>
      <c r="K776">
        <v>19790</v>
      </c>
      <c r="L776">
        <v>0</v>
      </c>
      <c r="M776">
        <v>19790</v>
      </c>
      <c r="N776" t="s">
        <v>727</v>
      </c>
      <c r="O776" t="s">
        <v>680</v>
      </c>
    </row>
    <row r="777" spans="1:15" x14ac:dyDescent="0.3">
      <c r="A777" t="str">
        <f t="shared" si="12"/>
        <v>W52-0L-1122-GG</v>
      </c>
      <c r="B777" t="s">
        <v>14</v>
      </c>
      <c r="C777" t="s">
        <v>779</v>
      </c>
      <c r="D777" t="s">
        <v>589</v>
      </c>
      <c r="E777" t="s">
        <v>780</v>
      </c>
      <c r="F777" t="s">
        <v>18</v>
      </c>
      <c r="G777" t="s">
        <v>35</v>
      </c>
      <c r="H777">
        <v>0</v>
      </c>
      <c r="I777">
        <v>1</v>
      </c>
      <c r="J777">
        <v>25210</v>
      </c>
      <c r="K777">
        <v>25210</v>
      </c>
      <c r="L777">
        <v>0</v>
      </c>
      <c r="M777">
        <v>25210</v>
      </c>
      <c r="N777" t="s">
        <v>689</v>
      </c>
      <c r="O777" t="s">
        <v>680</v>
      </c>
    </row>
    <row r="778" spans="1:15" x14ac:dyDescent="0.3">
      <c r="A778" t="str">
        <f t="shared" si="12"/>
        <v>W52-0L-1122-GG</v>
      </c>
      <c r="B778" t="s">
        <v>14</v>
      </c>
      <c r="C778" t="s">
        <v>779</v>
      </c>
      <c r="D778" t="s">
        <v>589</v>
      </c>
      <c r="E778" t="s">
        <v>780</v>
      </c>
      <c r="F778" t="s">
        <v>18</v>
      </c>
      <c r="G778" t="s">
        <v>49</v>
      </c>
      <c r="H778">
        <v>0</v>
      </c>
      <c r="I778">
        <v>10</v>
      </c>
      <c r="J778">
        <v>25210</v>
      </c>
      <c r="K778">
        <v>252100</v>
      </c>
      <c r="L778">
        <v>0</v>
      </c>
      <c r="M778">
        <v>252100</v>
      </c>
      <c r="N778" t="s">
        <v>689</v>
      </c>
      <c r="O778" t="s">
        <v>680</v>
      </c>
    </row>
    <row r="779" spans="1:15" x14ac:dyDescent="0.3">
      <c r="A779" t="str">
        <f t="shared" si="12"/>
        <v>W52-0L-1123-XX</v>
      </c>
      <c r="B779" t="s">
        <v>14</v>
      </c>
      <c r="C779" t="s">
        <v>1870</v>
      </c>
      <c r="D779" t="s">
        <v>16</v>
      </c>
      <c r="E779" t="s">
        <v>1044</v>
      </c>
      <c r="F779" t="s">
        <v>18</v>
      </c>
      <c r="G779" t="s">
        <v>49</v>
      </c>
      <c r="H779">
        <v>0</v>
      </c>
      <c r="I779">
        <v>54</v>
      </c>
      <c r="J779">
        <v>20240</v>
      </c>
      <c r="K779">
        <v>1092960</v>
      </c>
      <c r="L779">
        <v>0</v>
      </c>
      <c r="M779">
        <v>1092960</v>
      </c>
      <c r="N779" t="s">
        <v>727</v>
      </c>
      <c r="O779" t="s">
        <v>680</v>
      </c>
    </row>
    <row r="780" spans="1:15" x14ac:dyDescent="0.3">
      <c r="A780" t="str">
        <f t="shared" si="12"/>
        <v>W52-0L-1124-XX</v>
      </c>
      <c r="B780" t="s">
        <v>14</v>
      </c>
      <c r="C780" t="s">
        <v>781</v>
      </c>
      <c r="D780" t="s">
        <v>16</v>
      </c>
      <c r="E780" t="s">
        <v>782</v>
      </c>
      <c r="F780" t="s">
        <v>18</v>
      </c>
      <c r="G780" t="s">
        <v>49</v>
      </c>
      <c r="H780">
        <v>0</v>
      </c>
      <c r="I780">
        <v>14</v>
      </c>
      <c r="J780">
        <v>25660</v>
      </c>
      <c r="K780">
        <v>359240</v>
      </c>
      <c r="L780">
        <v>0</v>
      </c>
      <c r="M780">
        <v>359240</v>
      </c>
      <c r="N780" t="s">
        <v>689</v>
      </c>
      <c r="O780" t="s">
        <v>680</v>
      </c>
    </row>
    <row r="781" spans="1:15" x14ac:dyDescent="0.3">
      <c r="A781" t="str">
        <f t="shared" si="12"/>
        <v>W52-0L-1125-HBR</v>
      </c>
      <c r="B781" t="s">
        <v>14</v>
      </c>
      <c r="C781" t="s">
        <v>783</v>
      </c>
      <c r="D781" t="s">
        <v>784</v>
      </c>
      <c r="E781" t="s">
        <v>785</v>
      </c>
      <c r="F781" t="s">
        <v>18</v>
      </c>
      <c r="G781" t="s">
        <v>49</v>
      </c>
      <c r="H781">
        <v>0</v>
      </c>
      <c r="I781">
        <v>32</v>
      </c>
      <c r="J781">
        <v>19790</v>
      </c>
      <c r="K781">
        <v>633280</v>
      </c>
      <c r="L781">
        <v>0</v>
      </c>
      <c r="M781">
        <v>633280</v>
      </c>
      <c r="N781" t="s">
        <v>727</v>
      </c>
      <c r="O781" t="s">
        <v>680</v>
      </c>
    </row>
    <row r="782" spans="1:15" x14ac:dyDescent="0.3">
      <c r="A782" t="str">
        <f t="shared" si="12"/>
        <v>W52-0L-1126-HBR</v>
      </c>
      <c r="B782" t="s">
        <v>14</v>
      </c>
      <c r="C782" t="s">
        <v>786</v>
      </c>
      <c r="D782" t="s">
        <v>784</v>
      </c>
      <c r="E782" t="s">
        <v>787</v>
      </c>
      <c r="F782" t="s">
        <v>18</v>
      </c>
      <c r="G782" t="s">
        <v>49</v>
      </c>
      <c r="H782">
        <v>0</v>
      </c>
      <c r="I782">
        <v>84</v>
      </c>
      <c r="J782">
        <v>22160</v>
      </c>
      <c r="K782">
        <v>1861440</v>
      </c>
      <c r="L782">
        <v>0</v>
      </c>
      <c r="M782">
        <v>1861440</v>
      </c>
      <c r="N782" t="s">
        <v>683</v>
      </c>
      <c r="O782" t="s">
        <v>680</v>
      </c>
    </row>
    <row r="783" spans="1:15" x14ac:dyDescent="0.3">
      <c r="A783" t="str">
        <f t="shared" si="12"/>
        <v>W52-0L-1136-FK</v>
      </c>
      <c r="B783" t="s">
        <v>14</v>
      </c>
      <c r="C783" t="s">
        <v>1871</v>
      </c>
      <c r="D783" t="s">
        <v>229</v>
      </c>
      <c r="E783" t="s">
        <v>1872</v>
      </c>
      <c r="F783" t="s">
        <v>18</v>
      </c>
      <c r="G783" t="s">
        <v>914</v>
      </c>
      <c r="H783">
        <v>0</v>
      </c>
      <c r="I783">
        <v>4</v>
      </c>
      <c r="J783">
        <v>33190</v>
      </c>
      <c r="K783">
        <v>132760</v>
      </c>
      <c r="L783">
        <v>0</v>
      </c>
      <c r="M783">
        <v>132760</v>
      </c>
      <c r="N783" t="s">
        <v>705</v>
      </c>
      <c r="O783" t="s">
        <v>680</v>
      </c>
    </row>
    <row r="784" spans="1:15" x14ac:dyDescent="0.3">
      <c r="A784" t="str">
        <f t="shared" si="12"/>
        <v>W52-0L-1138-GG</v>
      </c>
      <c r="B784" t="s">
        <v>14</v>
      </c>
      <c r="C784" t="s">
        <v>788</v>
      </c>
      <c r="D784" t="s">
        <v>589</v>
      </c>
      <c r="E784" t="s">
        <v>789</v>
      </c>
      <c r="F784" t="s">
        <v>18</v>
      </c>
      <c r="G784" t="s">
        <v>35</v>
      </c>
      <c r="H784">
        <v>0</v>
      </c>
      <c r="I784">
        <v>3</v>
      </c>
      <c r="J784">
        <v>22660</v>
      </c>
      <c r="K784">
        <v>67980</v>
      </c>
      <c r="L784">
        <v>0</v>
      </c>
      <c r="M784">
        <v>67980</v>
      </c>
      <c r="N784" t="s">
        <v>683</v>
      </c>
      <c r="O784" t="s">
        <v>680</v>
      </c>
    </row>
    <row r="785" spans="1:15" x14ac:dyDescent="0.3">
      <c r="A785" t="str">
        <f t="shared" si="12"/>
        <v>W52-0L-1140-GG</v>
      </c>
      <c r="B785" t="s">
        <v>14</v>
      </c>
      <c r="C785" t="s">
        <v>790</v>
      </c>
      <c r="D785" t="s">
        <v>589</v>
      </c>
      <c r="E785" t="s">
        <v>791</v>
      </c>
      <c r="F785" t="s">
        <v>18</v>
      </c>
      <c r="G785" t="s">
        <v>49</v>
      </c>
      <c r="H785">
        <v>0</v>
      </c>
      <c r="I785">
        <v>46</v>
      </c>
      <c r="J785">
        <v>29990</v>
      </c>
      <c r="K785">
        <v>1379540</v>
      </c>
      <c r="L785">
        <v>0</v>
      </c>
      <c r="M785">
        <v>1379540</v>
      </c>
      <c r="N785" t="s">
        <v>686</v>
      </c>
      <c r="O785" t="s">
        <v>680</v>
      </c>
    </row>
    <row r="786" spans="1:15" x14ac:dyDescent="0.3">
      <c r="A786" t="str">
        <f t="shared" si="12"/>
        <v>W52-0L-1174-WW</v>
      </c>
      <c r="B786" t="s">
        <v>14</v>
      </c>
      <c r="C786" t="s">
        <v>793</v>
      </c>
      <c r="D786" t="s">
        <v>28</v>
      </c>
      <c r="E786" t="s">
        <v>719</v>
      </c>
      <c r="F786" t="s">
        <v>18</v>
      </c>
      <c r="G786" t="s">
        <v>23</v>
      </c>
      <c r="H786">
        <v>0</v>
      </c>
      <c r="I786">
        <v>90</v>
      </c>
      <c r="J786">
        <v>20190</v>
      </c>
      <c r="K786">
        <v>1817100</v>
      </c>
      <c r="L786">
        <v>0</v>
      </c>
      <c r="M786">
        <v>1817100</v>
      </c>
      <c r="N786" t="s">
        <v>705</v>
      </c>
      <c r="O786" t="s">
        <v>680</v>
      </c>
    </row>
    <row r="787" spans="1:15" x14ac:dyDescent="0.3">
      <c r="A787" t="str">
        <f t="shared" si="12"/>
        <v>W52-0L-1206-XX</v>
      </c>
      <c r="B787" t="s">
        <v>14</v>
      </c>
      <c r="C787" t="s">
        <v>794</v>
      </c>
      <c r="D787" t="s">
        <v>16</v>
      </c>
      <c r="E787" t="s">
        <v>795</v>
      </c>
      <c r="F787" t="s">
        <v>18</v>
      </c>
      <c r="G787" t="s">
        <v>19</v>
      </c>
      <c r="H787">
        <v>0</v>
      </c>
      <c r="I787">
        <v>150</v>
      </c>
      <c r="J787">
        <v>17640</v>
      </c>
      <c r="K787">
        <v>2646000</v>
      </c>
      <c r="L787">
        <v>0</v>
      </c>
      <c r="M787">
        <v>2646000</v>
      </c>
      <c r="N787" t="s">
        <v>796</v>
      </c>
      <c r="O787" t="s">
        <v>680</v>
      </c>
    </row>
    <row r="788" spans="1:15" x14ac:dyDescent="0.3">
      <c r="A788" t="str">
        <f t="shared" si="12"/>
        <v>W52-0L-1207-XX</v>
      </c>
      <c r="B788" t="s">
        <v>14</v>
      </c>
      <c r="C788" t="s">
        <v>797</v>
      </c>
      <c r="D788" t="s">
        <v>16</v>
      </c>
      <c r="E788" t="s">
        <v>798</v>
      </c>
      <c r="F788" t="s">
        <v>18</v>
      </c>
      <c r="G788" t="s">
        <v>68</v>
      </c>
      <c r="H788">
        <v>0</v>
      </c>
      <c r="I788">
        <v>1160</v>
      </c>
      <c r="J788">
        <v>19890</v>
      </c>
      <c r="K788">
        <v>23072400</v>
      </c>
      <c r="L788">
        <v>0</v>
      </c>
      <c r="M788">
        <v>23072400</v>
      </c>
      <c r="N788" t="s">
        <v>799</v>
      </c>
      <c r="O788" t="s">
        <v>680</v>
      </c>
    </row>
    <row r="789" spans="1:15" x14ac:dyDescent="0.3">
      <c r="A789" t="str">
        <f t="shared" si="12"/>
        <v>W52-0L-1208-XX</v>
      </c>
      <c r="B789" t="s">
        <v>14</v>
      </c>
      <c r="C789" t="s">
        <v>800</v>
      </c>
      <c r="D789" t="s">
        <v>16</v>
      </c>
      <c r="E789" t="s">
        <v>801</v>
      </c>
      <c r="F789" t="s">
        <v>18</v>
      </c>
      <c r="G789" t="s">
        <v>68</v>
      </c>
      <c r="H789">
        <v>0</v>
      </c>
      <c r="I789">
        <v>325</v>
      </c>
      <c r="J789">
        <v>25310</v>
      </c>
      <c r="K789">
        <v>8225750</v>
      </c>
      <c r="L789">
        <v>0</v>
      </c>
      <c r="M789">
        <v>8225750</v>
      </c>
      <c r="N789" t="s">
        <v>802</v>
      </c>
      <c r="O789" t="s">
        <v>680</v>
      </c>
    </row>
    <row r="790" spans="1:15" x14ac:dyDescent="0.3">
      <c r="A790" t="str">
        <f t="shared" si="12"/>
        <v>W52-0L-1237-WP</v>
      </c>
      <c r="B790" t="s">
        <v>14</v>
      </c>
      <c r="C790" t="s">
        <v>803</v>
      </c>
      <c r="D790" t="s">
        <v>804</v>
      </c>
      <c r="E790" t="s">
        <v>805</v>
      </c>
      <c r="F790" t="s">
        <v>18</v>
      </c>
      <c r="G790" t="s">
        <v>49</v>
      </c>
      <c r="H790">
        <v>0</v>
      </c>
      <c r="I790">
        <v>447</v>
      </c>
      <c r="J790">
        <v>17940</v>
      </c>
      <c r="K790">
        <v>8019180</v>
      </c>
      <c r="L790">
        <v>0</v>
      </c>
      <c r="M790">
        <v>8019180</v>
      </c>
      <c r="N790" t="s">
        <v>792</v>
      </c>
      <c r="O790" t="s">
        <v>680</v>
      </c>
    </row>
    <row r="791" spans="1:15" x14ac:dyDescent="0.3">
      <c r="A791" t="str">
        <f t="shared" si="12"/>
        <v>W52-0L-1245-NCC</v>
      </c>
      <c r="B791" t="s">
        <v>14</v>
      </c>
      <c r="C791" t="s">
        <v>806</v>
      </c>
      <c r="D791" t="s">
        <v>220</v>
      </c>
      <c r="E791" t="s">
        <v>807</v>
      </c>
      <c r="F791" t="s">
        <v>18</v>
      </c>
      <c r="G791" t="s">
        <v>19</v>
      </c>
      <c r="H791">
        <v>0</v>
      </c>
      <c r="I791">
        <v>4</v>
      </c>
      <c r="J791">
        <v>30150</v>
      </c>
      <c r="K791">
        <v>120600</v>
      </c>
      <c r="L791">
        <v>0</v>
      </c>
      <c r="M791">
        <v>120600</v>
      </c>
      <c r="N791" t="s">
        <v>686</v>
      </c>
      <c r="O791" t="s">
        <v>680</v>
      </c>
    </row>
    <row r="792" spans="1:15" x14ac:dyDescent="0.3">
      <c r="A792" t="str">
        <f t="shared" si="12"/>
        <v>W52-0L-1245-NCC</v>
      </c>
      <c r="B792" t="s">
        <v>14</v>
      </c>
      <c r="C792" t="s">
        <v>806</v>
      </c>
      <c r="D792" t="s">
        <v>220</v>
      </c>
      <c r="E792" t="s">
        <v>807</v>
      </c>
      <c r="F792" t="s">
        <v>18</v>
      </c>
      <c r="G792" t="s">
        <v>111</v>
      </c>
      <c r="H792">
        <v>0</v>
      </c>
      <c r="I792">
        <v>3</v>
      </c>
      <c r="J792">
        <v>30150</v>
      </c>
      <c r="K792">
        <v>90450</v>
      </c>
      <c r="L792">
        <v>0</v>
      </c>
      <c r="M792">
        <v>90450</v>
      </c>
      <c r="N792" t="s">
        <v>686</v>
      </c>
      <c r="O792" t="s">
        <v>680</v>
      </c>
    </row>
    <row r="793" spans="1:15" x14ac:dyDescent="0.3">
      <c r="A793" t="str">
        <f t="shared" si="12"/>
        <v>W52-0L-1253-GU</v>
      </c>
      <c r="B793" t="s">
        <v>14</v>
      </c>
      <c r="C793" t="s">
        <v>808</v>
      </c>
      <c r="D793" t="s">
        <v>274</v>
      </c>
      <c r="E793" t="s">
        <v>809</v>
      </c>
      <c r="F793" t="s">
        <v>18</v>
      </c>
      <c r="G793" t="s">
        <v>246</v>
      </c>
      <c r="H793">
        <v>0</v>
      </c>
      <c r="I793">
        <v>40</v>
      </c>
      <c r="J793">
        <v>19350</v>
      </c>
      <c r="K793">
        <v>774000</v>
      </c>
      <c r="L793">
        <v>0</v>
      </c>
      <c r="M793">
        <v>774000</v>
      </c>
      <c r="N793" t="s">
        <v>679</v>
      </c>
      <c r="O793" t="s">
        <v>680</v>
      </c>
    </row>
    <row r="794" spans="1:15" x14ac:dyDescent="0.3">
      <c r="A794" t="str">
        <f t="shared" si="12"/>
        <v>W52-0L-1255-LT</v>
      </c>
      <c r="B794" t="s">
        <v>14</v>
      </c>
      <c r="C794" t="s">
        <v>810</v>
      </c>
      <c r="D794" t="s">
        <v>217</v>
      </c>
      <c r="E794" t="s">
        <v>811</v>
      </c>
      <c r="F794" t="s">
        <v>18</v>
      </c>
      <c r="G794" t="s">
        <v>35</v>
      </c>
      <c r="H794">
        <v>0</v>
      </c>
      <c r="I794">
        <v>301</v>
      </c>
      <c r="J794">
        <v>18350</v>
      </c>
      <c r="K794">
        <v>5523350</v>
      </c>
      <c r="L794">
        <v>0</v>
      </c>
      <c r="M794">
        <v>5523350</v>
      </c>
      <c r="N794" t="s">
        <v>697</v>
      </c>
      <c r="O794" t="s">
        <v>680</v>
      </c>
    </row>
    <row r="795" spans="1:15" x14ac:dyDescent="0.3">
      <c r="A795" t="str">
        <f t="shared" si="12"/>
        <v>W52-0L-1255-LT</v>
      </c>
      <c r="B795" t="s">
        <v>14</v>
      </c>
      <c r="C795" t="s">
        <v>810</v>
      </c>
      <c r="D795" t="s">
        <v>217</v>
      </c>
      <c r="E795" t="s">
        <v>811</v>
      </c>
      <c r="F795" t="s">
        <v>18</v>
      </c>
      <c r="G795" t="s">
        <v>19</v>
      </c>
      <c r="H795">
        <v>0</v>
      </c>
      <c r="I795">
        <v>300</v>
      </c>
      <c r="J795">
        <v>18350</v>
      </c>
      <c r="K795">
        <v>5505000</v>
      </c>
      <c r="L795">
        <v>0</v>
      </c>
      <c r="M795">
        <v>5505000</v>
      </c>
      <c r="N795" t="s">
        <v>697</v>
      </c>
      <c r="O795" t="s">
        <v>680</v>
      </c>
    </row>
    <row r="796" spans="1:15" x14ac:dyDescent="0.3">
      <c r="A796" t="str">
        <f t="shared" si="12"/>
        <v>W52-0L-1258-LL</v>
      </c>
      <c r="B796" t="s">
        <v>14</v>
      </c>
      <c r="C796" t="s">
        <v>812</v>
      </c>
      <c r="D796" t="s">
        <v>277</v>
      </c>
      <c r="E796" t="s">
        <v>813</v>
      </c>
      <c r="F796" t="s">
        <v>18</v>
      </c>
      <c r="G796" t="s">
        <v>23</v>
      </c>
      <c r="H796">
        <v>0</v>
      </c>
      <c r="I796">
        <v>30</v>
      </c>
      <c r="J796">
        <v>20730</v>
      </c>
      <c r="K796">
        <v>621900</v>
      </c>
      <c r="L796">
        <v>0</v>
      </c>
      <c r="M796">
        <v>621900</v>
      </c>
      <c r="N796" t="s">
        <v>679</v>
      </c>
      <c r="O796" t="s">
        <v>680</v>
      </c>
    </row>
    <row r="797" spans="1:15" x14ac:dyDescent="0.3">
      <c r="A797" t="str">
        <f t="shared" si="12"/>
        <v>W52-0L-1260-KAP</v>
      </c>
      <c r="B797" t="s">
        <v>14</v>
      </c>
      <c r="C797" t="s">
        <v>814</v>
      </c>
      <c r="D797" t="s">
        <v>261</v>
      </c>
      <c r="E797" t="s">
        <v>815</v>
      </c>
      <c r="F797" t="s">
        <v>18</v>
      </c>
      <c r="G797" t="s">
        <v>23</v>
      </c>
      <c r="H797">
        <v>0</v>
      </c>
      <c r="I797">
        <v>20</v>
      </c>
      <c r="J797">
        <v>20730</v>
      </c>
      <c r="K797">
        <v>414600</v>
      </c>
      <c r="L797">
        <v>0</v>
      </c>
      <c r="M797">
        <v>414600</v>
      </c>
      <c r="N797" t="s">
        <v>679</v>
      </c>
      <c r="O797" t="s">
        <v>680</v>
      </c>
    </row>
    <row r="798" spans="1:15" x14ac:dyDescent="0.3">
      <c r="A798" t="str">
        <f t="shared" si="12"/>
        <v>W52-0L-1260-KAP</v>
      </c>
      <c r="B798" t="s">
        <v>14</v>
      </c>
      <c r="C798" t="s">
        <v>814</v>
      </c>
      <c r="D798" t="s">
        <v>261</v>
      </c>
      <c r="E798" t="s">
        <v>815</v>
      </c>
      <c r="F798" t="s">
        <v>18</v>
      </c>
      <c r="G798" t="s">
        <v>19</v>
      </c>
      <c r="H798">
        <v>0</v>
      </c>
      <c r="I798">
        <v>12</v>
      </c>
      <c r="J798">
        <v>20730</v>
      </c>
      <c r="K798">
        <v>248760</v>
      </c>
      <c r="L798">
        <v>0</v>
      </c>
      <c r="M798">
        <v>248760</v>
      </c>
      <c r="N798" t="s">
        <v>679</v>
      </c>
      <c r="O798" t="s">
        <v>680</v>
      </c>
    </row>
    <row r="799" spans="1:15" x14ac:dyDescent="0.3">
      <c r="A799" t="str">
        <f t="shared" si="12"/>
        <v>W52-0L-1261-BK</v>
      </c>
      <c r="B799" t="s">
        <v>14</v>
      </c>
      <c r="C799" t="s">
        <v>816</v>
      </c>
      <c r="D799" t="s">
        <v>31</v>
      </c>
      <c r="E799" t="s">
        <v>817</v>
      </c>
      <c r="F799" t="s">
        <v>18</v>
      </c>
      <c r="G799" t="s">
        <v>49</v>
      </c>
      <c r="H799">
        <v>0</v>
      </c>
      <c r="I799">
        <v>35</v>
      </c>
      <c r="J799">
        <v>19750</v>
      </c>
      <c r="K799">
        <v>691250</v>
      </c>
      <c r="L799">
        <v>0</v>
      </c>
      <c r="M799">
        <v>691250</v>
      </c>
      <c r="N799" t="s">
        <v>697</v>
      </c>
      <c r="O799" t="s">
        <v>680</v>
      </c>
    </row>
    <row r="800" spans="1:15" x14ac:dyDescent="0.3">
      <c r="A800" t="str">
        <f t="shared" si="12"/>
        <v>W52-0L-1262-WW</v>
      </c>
      <c r="B800" t="s">
        <v>14</v>
      </c>
      <c r="C800" t="s">
        <v>819</v>
      </c>
      <c r="D800" t="s">
        <v>28</v>
      </c>
      <c r="E800" t="s">
        <v>820</v>
      </c>
      <c r="F800" t="s">
        <v>18</v>
      </c>
      <c r="G800" t="s">
        <v>119</v>
      </c>
      <c r="H800">
        <v>0</v>
      </c>
      <c r="I800">
        <v>20</v>
      </c>
      <c r="J800">
        <v>19100</v>
      </c>
      <c r="K800">
        <v>382000</v>
      </c>
      <c r="L800">
        <v>0</v>
      </c>
      <c r="M800">
        <v>382000</v>
      </c>
      <c r="N800" t="s">
        <v>768</v>
      </c>
      <c r="O800" t="s">
        <v>680</v>
      </c>
    </row>
    <row r="801" spans="1:15" x14ac:dyDescent="0.3">
      <c r="A801" t="str">
        <f t="shared" si="12"/>
        <v>W52-0L-1285-NCC</v>
      </c>
      <c r="B801" t="s">
        <v>14</v>
      </c>
      <c r="C801" t="s">
        <v>1873</v>
      </c>
      <c r="D801" t="s">
        <v>220</v>
      </c>
      <c r="E801" t="s">
        <v>1874</v>
      </c>
      <c r="F801" t="s">
        <v>18</v>
      </c>
      <c r="G801" t="s">
        <v>19</v>
      </c>
      <c r="H801">
        <v>0</v>
      </c>
      <c r="I801">
        <v>40</v>
      </c>
      <c r="J801">
        <v>19610</v>
      </c>
      <c r="K801">
        <v>784400</v>
      </c>
      <c r="L801">
        <v>0</v>
      </c>
      <c r="M801">
        <v>784400</v>
      </c>
      <c r="N801" t="s">
        <v>679</v>
      </c>
      <c r="O801" t="s">
        <v>680</v>
      </c>
    </row>
    <row r="802" spans="1:15" x14ac:dyDescent="0.3">
      <c r="A802" t="str">
        <f t="shared" si="12"/>
        <v>W52-0L-1285-NCC</v>
      </c>
      <c r="B802" t="s">
        <v>14</v>
      </c>
      <c r="C802" t="s">
        <v>1873</v>
      </c>
      <c r="D802" t="s">
        <v>220</v>
      </c>
      <c r="E802" t="s">
        <v>1874</v>
      </c>
      <c r="F802" t="s">
        <v>18</v>
      </c>
      <c r="G802" t="s">
        <v>49</v>
      </c>
      <c r="H802">
        <v>0</v>
      </c>
      <c r="I802">
        <v>3</v>
      </c>
      <c r="J802">
        <v>19610</v>
      </c>
      <c r="K802">
        <v>58830</v>
      </c>
      <c r="L802">
        <v>0</v>
      </c>
      <c r="M802">
        <v>58830</v>
      </c>
      <c r="N802" t="s">
        <v>679</v>
      </c>
      <c r="O802" t="s">
        <v>680</v>
      </c>
    </row>
    <row r="803" spans="1:15" x14ac:dyDescent="0.3">
      <c r="A803" t="str">
        <f t="shared" si="12"/>
        <v>W52-0L-1290-NCC</v>
      </c>
      <c r="B803" t="s">
        <v>14</v>
      </c>
      <c r="C803" t="s">
        <v>1875</v>
      </c>
      <c r="D803" t="s">
        <v>220</v>
      </c>
      <c r="E803" t="s">
        <v>1876</v>
      </c>
      <c r="F803" t="s">
        <v>18</v>
      </c>
      <c r="G803" t="s">
        <v>19</v>
      </c>
      <c r="H803">
        <v>0</v>
      </c>
      <c r="I803">
        <v>50</v>
      </c>
      <c r="J803">
        <v>17230</v>
      </c>
      <c r="K803">
        <v>861500</v>
      </c>
      <c r="L803">
        <v>0</v>
      </c>
      <c r="M803">
        <v>861500</v>
      </c>
      <c r="N803" t="s">
        <v>792</v>
      </c>
      <c r="O803" t="s">
        <v>680</v>
      </c>
    </row>
    <row r="804" spans="1:15" x14ac:dyDescent="0.3">
      <c r="A804" t="str">
        <f t="shared" si="12"/>
        <v>W52-0L-1335-GYM</v>
      </c>
      <c r="B804" t="s">
        <v>14</v>
      </c>
      <c r="C804" t="s">
        <v>821</v>
      </c>
      <c r="D804" t="s">
        <v>570</v>
      </c>
      <c r="E804" t="s">
        <v>822</v>
      </c>
      <c r="F804" t="s">
        <v>18</v>
      </c>
      <c r="G804" t="s">
        <v>246</v>
      </c>
      <c r="H804">
        <v>0</v>
      </c>
      <c r="I804">
        <v>40</v>
      </c>
      <c r="J804">
        <v>19470</v>
      </c>
      <c r="K804">
        <v>778800</v>
      </c>
      <c r="L804">
        <v>0</v>
      </c>
      <c r="M804">
        <v>778800</v>
      </c>
      <c r="N804" t="s">
        <v>679</v>
      </c>
      <c r="O804" t="s">
        <v>680</v>
      </c>
    </row>
    <row r="805" spans="1:15" x14ac:dyDescent="0.3">
      <c r="A805" t="str">
        <f t="shared" si="12"/>
        <v>W52-0L-1343-OS</v>
      </c>
      <c r="B805" t="s">
        <v>14</v>
      </c>
      <c r="C805" t="s">
        <v>823</v>
      </c>
      <c r="D805" t="s">
        <v>264</v>
      </c>
      <c r="E805" t="s">
        <v>824</v>
      </c>
      <c r="F805" t="s">
        <v>18</v>
      </c>
      <c r="G805" t="s">
        <v>35</v>
      </c>
      <c r="H805">
        <v>0</v>
      </c>
      <c r="I805">
        <v>225</v>
      </c>
      <c r="J805">
        <v>17700</v>
      </c>
      <c r="K805">
        <v>3982500</v>
      </c>
      <c r="L805">
        <v>0</v>
      </c>
      <c r="M805">
        <v>3982500</v>
      </c>
      <c r="N805" t="s">
        <v>697</v>
      </c>
      <c r="O805" t="s">
        <v>680</v>
      </c>
    </row>
    <row r="806" spans="1:15" x14ac:dyDescent="0.3">
      <c r="A806" t="str">
        <f t="shared" si="12"/>
        <v>W52-0L-1344-WW</v>
      </c>
      <c r="B806" t="s">
        <v>14</v>
      </c>
      <c r="C806" t="s">
        <v>825</v>
      </c>
      <c r="D806" t="s">
        <v>28</v>
      </c>
      <c r="E806" t="s">
        <v>826</v>
      </c>
      <c r="F806" t="s">
        <v>18</v>
      </c>
      <c r="G806" t="s">
        <v>35</v>
      </c>
      <c r="H806">
        <v>0</v>
      </c>
      <c r="I806">
        <v>75</v>
      </c>
      <c r="J806">
        <v>16380</v>
      </c>
      <c r="K806">
        <v>1228500</v>
      </c>
      <c r="L806">
        <v>0</v>
      </c>
      <c r="M806">
        <v>1228500</v>
      </c>
      <c r="N806" t="s">
        <v>697</v>
      </c>
      <c r="O806" t="s">
        <v>680</v>
      </c>
    </row>
    <row r="807" spans="1:15" x14ac:dyDescent="0.3">
      <c r="A807" t="str">
        <f t="shared" si="12"/>
        <v>WDPGBL0000550-WW</v>
      </c>
      <c r="B807" t="s">
        <v>14</v>
      </c>
      <c r="C807" t="s">
        <v>828</v>
      </c>
      <c r="D807" t="s">
        <v>28</v>
      </c>
      <c r="E807" t="s">
        <v>829</v>
      </c>
      <c r="F807" t="s">
        <v>18</v>
      </c>
      <c r="G807" t="s">
        <v>63</v>
      </c>
      <c r="H807">
        <v>0</v>
      </c>
      <c r="I807">
        <v>80</v>
      </c>
      <c r="J807">
        <v>16220</v>
      </c>
      <c r="K807">
        <v>1297600</v>
      </c>
      <c r="L807">
        <v>0</v>
      </c>
      <c r="M807">
        <v>1297600</v>
      </c>
      <c r="N807" t="s">
        <v>830</v>
      </c>
      <c r="O807" t="s">
        <v>680</v>
      </c>
    </row>
    <row r="808" spans="1:15" x14ac:dyDescent="0.3">
      <c r="A808" t="str">
        <f t="shared" si="12"/>
        <v>WDPGBL0001040-GYM</v>
      </c>
      <c r="B808" t="s">
        <v>14</v>
      </c>
      <c r="C808" t="s">
        <v>832</v>
      </c>
      <c r="D808" t="s">
        <v>570</v>
      </c>
      <c r="E808" t="s">
        <v>833</v>
      </c>
      <c r="F808" t="s">
        <v>18</v>
      </c>
      <c r="G808" t="s">
        <v>111</v>
      </c>
      <c r="H808">
        <v>0</v>
      </c>
      <c r="I808">
        <v>60</v>
      </c>
      <c r="J808">
        <v>30400</v>
      </c>
      <c r="K808">
        <v>1824000</v>
      </c>
      <c r="L808">
        <v>0</v>
      </c>
      <c r="M808">
        <v>1824000</v>
      </c>
      <c r="N808" t="s">
        <v>727</v>
      </c>
      <c r="O808" t="s">
        <v>680</v>
      </c>
    </row>
    <row r="809" spans="1:15" x14ac:dyDescent="0.3">
      <c r="A809" t="str">
        <f t="shared" si="12"/>
        <v>WDPGBL0002348-GU</v>
      </c>
      <c r="B809" t="s">
        <v>14</v>
      </c>
      <c r="C809" t="s">
        <v>1877</v>
      </c>
      <c r="D809" t="s">
        <v>274</v>
      </c>
      <c r="E809" t="s">
        <v>1878</v>
      </c>
      <c r="F809" t="s">
        <v>18</v>
      </c>
      <c r="G809" t="s">
        <v>210</v>
      </c>
      <c r="H809">
        <v>0</v>
      </c>
      <c r="I809">
        <v>40</v>
      </c>
      <c r="J809">
        <v>16950</v>
      </c>
      <c r="K809">
        <v>678000</v>
      </c>
      <c r="L809">
        <v>0</v>
      </c>
      <c r="M809">
        <v>678000</v>
      </c>
      <c r="N809" t="s">
        <v>689</v>
      </c>
      <c r="O809" t="s">
        <v>680</v>
      </c>
    </row>
    <row r="810" spans="1:15" x14ac:dyDescent="0.3">
      <c r="A810" t="str">
        <f t="shared" si="12"/>
        <v>WDPGBL0002418-IV</v>
      </c>
      <c r="B810" t="s">
        <v>14</v>
      </c>
      <c r="C810" t="s">
        <v>1879</v>
      </c>
      <c r="D810" t="s">
        <v>214</v>
      </c>
      <c r="E810" t="s">
        <v>1880</v>
      </c>
      <c r="F810" t="s">
        <v>18</v>
      </c>
      <c r="G810" t="s">
        <v>210</v>
      </c>
      <c r="H810">
        <v>0</v>
      </c>
      <c r="I810">
        <v>40</v>
      </c>
      <c r="J810">
        <v>16100</v>
      </c>
      <c r="K810">
        <v>644000</v>
      </c>
      <c r="L810">
        <v>0</v>
      </c>
      <c r="M810">
        <v>644000</v>
      </c>
      <c r="N810" t="s">
        <v>689</v>
      </c>
      <c r="O810" t="s">
        <v>680</v>
      </c>
    </row>
    <row r="811" spans="1:15" x14ac:dyDescent="0.3">
      <c r="A811" t="str">
        <f t="shared" si="12"/>
        <v>WDPGBL0004928-XX</v>
      </c>
      <c r="B811" t="s">
        <v>14</v>
      </c>
      <c r="C811" t="s">
        <v>835</v>
      </c>
      <c r="D811" t="s">
        <v>16</v>
      </c>
      <c r="E811" t="s">
        <v>836</v>
      </c>
      <c r="F811" t="s">
        <v>18</v>
      </c>
      <c r="G811" t="s">
        <v>19</v>
      </c>
      <c r="H811">
        <v>0</v>
      </c>
      <c r="I811">
        <v>100</v>
      </c>
      <c r="J811">
        <v>22140</v>
      </c>
      <c r="K811">
        <v>2214000</v>
      </c>
      <c r="L811">
        <v>0</v>
      </c>
      <c r="M811">
        <v>2214000</v>
      </c>
      <c r="N811" t="s">
        <v>683</v>
      </c>
      <c r="O811" t="s">
        <v>680</v>
      </c>
    </row>
    <row r="812" spans="1:15" x14ac:dyDescent="0.3">
      <c r="A812" t="str">
        <f t="shared" si="12"/>
        <v>WDPGBL0005625-GG</v>
      </c>
      <c r="B812" t="s">
        <v>14</v>
      </c>
      <c r="C812" t="s">
        <v>837</v>
      </c>
      <c r="D812" t="s">
        <v>589</v>
      </c>
      <c r="E812" t="s">
        <v>838</v>
      </c>
      <c r="F812" t="s">
        <v>18</v>
      </c>
      <c r="G812" t="s">
        <v>49</v>
      </c>
      <c r="H812">
        <v>0</v>
      </c>
      <c r="I812">
        <v>99</v>
      </c>
      <c r="J812">
        <v>21070</v>
      </c>
      <c r="K812">
        <v>2085930</v>
      </c>
      <c r="L812">
        <v>0</v>
      </c>
      <c r="M812">
        <v>2085930</v>
      </c>
      <c r="N812" t="s">
        <v>705</v>
      </c>
      <c r="O812" t="s">
        <v>680</v>
      </c>
    </row>
    <row r="813" spans="1:15" x14ac:dyDescent="0.3">
      <c r="A813" t="str">
        <f t="shared" si="12"/>
        <v>WDPGBL0005845-XX</v>
      </c>
      <c r="B813" t="s">
        <v>14</v>
      </c>
      <c r="C813" t="s">
        <v>839</v>
      </c>
      <c r="D813" t="s">
        <v>16</v>
      </c>
      <c r="E813" t="s">
        <v>840</v>
      </c>
      <c r="F813" t="s">
        <v>18</v>
      </c>
      <c r="G813" t="s">
        <v>49</v>
      </c>
      <c r="H813">
        <v>0</v>
      </c>
      <c r="I813">
        <v>3</v>
      </c>
      <c r="J813">
        <v>19690</v>
      </c>
      <c r="K813">
        <v>59070</v>
      </c>
      <c r="L813">
        <v>0</v>
      </c>
      <c r="M813">
        <v>59070</v>
      </c>
      <c r="N813" t="s">
        <v>841</v>
      </c>
      <c r="O813" t="s">
        <v>680</v>
      </c>
    </row>
    <row r="814" spans="1:15" x14ac:dyDescent="0.3">
      <c r="A814" t="str">
        <f t="shared" si="12"/>
        <v>WDPGBL0008376-SE</v>
      </c>
      <c r="B814" t="s">
        <v>14</v>
      </c>
      <c r="C814" t="s">
        <v>1881</v>
      </c>
      <c r="D814" t="s">
        <v>1882</v>
      </c>
      <c r="E814" t="s">
        <v>1883</v>
      </c>
      <c r="F814" t="s">
        <v>18</v>
      </c>
      <c r="G814" t="s">
        <v>35</v>
      </c>
      <c r="H814">
        <v>0</v>
      </c>
      <c r="I814">
        <v>1</v>
      </c>
      <c r="J814">
        <v>19790</v>
      </c>
      <c r="K814">
        <v>19790</v>
      </c>
      <c r="L814">
        <v>0</v>
      </c>
      <c r="M814">
        <v>19790</v>
      </c>
      <c r="N814" t="s">
        <v>727</v>
      </c>
      <c r="O814" t="s">
        <v>680</v>
      </c>
    </row>
    <row r="815" spans="1:15" x14ac:dyDescent="0.3">
      <c r="A815" t="str">
        <f t="shared" si="12"/>
        <v>WDPGBL0008536-SE</v>
      </c>
      <c r="B815" t="s">
        <v>14</v>
      </c>
      <c r="C815" t="s">
        <v>1884</v>
      </c>
      <c r="D815" t="s">
        <v>1882</v>
      </c>
      <c r="E815" t="s">
        <v>1885</v>
      </c>
      <c r="F815" t="s">
        <v>18</v>
      </c>
      <c r="G815" t="s">
        <v>35</v>
      </c>
      <c r="H815">
        <v>0</v>
      </c>
      <c r="I815">
        <v>1</v>
      </c>
      <c r="J815">
        <v>22160</v>
      </c>
      <c r="K815">
        <v>22160</v>
      </c>
      <c r="L815">
        <v>0</v>
      </c>
      <c r="M815">
        <v>22160</v>
      </c>
      <c r="N815" t="s">
        <v>683</v>
      </c>
      <c r="O815" t="s">
        <v>680</v>
      </c>
    </row>
    <row r="816" spans="1:15" x14ac:dyDescent="0.3">
      <c r="A816" t="str">
        <f t="shared" si="12"/>
        <v>WDPGBL0009266-XX</v>
      </c>
      <c r="B816" t="s">
        <v>14</v>
      </c>
      <c r="C816" t="s">
        <v>842</v>
      </c>
      <c r="D816" t="s">
        <v>16</v>
      </c>
      <c r="E816" t="s">
        <v>843</v>
      </c>
      <c r="F816" t="s">
        <v>18</v>
      </c>
      <c r="G816" t="s">
        <v>1855</v>
      </c>
      <c r="H816">
        <v>0</v>
      </c>
      <c r="I816">
        <v>1</v>
      </c>
      <c r="J816">
        <v>30300</v>
      </c>
      <c r="K816">
        <v>30300</v>
      </c>
      <c r="L816">
        <v>0</v>
      </c>
      <c r="M816">
        <v>30300</v>
      </c>
      <c r="N816" t="s">
        <v>841</v>
      </c>
      <c r="O816" t="s">
        <v>680</v>
      </c>
    </row>
    <row r="817" spans="1:15" x14ac:dyDescent="0.3">
      <c r="A817" t="str">
        <f t="shared" si="12"/>
        <v>WDPGBL0034136-FK</v>
      </c>
      <c r="B817" t="s">
        <v>14</v>
      </c>
      <c r="C817" t="s">
        <v>1886</v>
      </c>
      <c r="D817" t="s">
        <v>229</v>
      </c>
      <c r="E817" t="s">
        <v>1887</v>
      </c>
      <c r="F817" t="s">
        <v>18</v>
      </c>
      <c r="G817" t="s">
        <v>1855</v>
      </c>
      <c r="H817">
        <v>0</v>
      </c>
      <c r="I817">
        <v>40</v>
      </c>
      <c r="J817">
        <v>28750</v>
      </c>
      <c r="K817">
        <v>1150000</v>
      </c>
      <c r="L817">
        <v>0</v>
      </c>
      <c r="M817">
        <v>1150000</v>
      </c>
      <c r="N817" t="s">
        <v>679</v>
      </c>
      <c r="O817" t="s">
        <v>680</v>
      </c>
    </row>
    <row r="818" spans="1:15" x14ac:dyDescent="0.3">
      <c r="A818" t="str">
        <f t="shared" si="12"/>
        <v>WDWP000035-R000-SO</v>
      </c>
      <c r="B818" t="s">
        <v>14</v>
      </c>
      <c r="C818" t="s">
        <v>1888</v>
      </c>
      <c r="D818" t="s">
        <v>301</v>
      </c>
      <c r="E818" t="s">
        <v>1889</v>
      </c>
      <c r="F818" t="s">
        <v>18</v>
      </c>
      <c r="G818" t="s">
        <v>210</v>
      </c>
      <c r="H818">
        <v>0</v>
      </c>
      <c r="I818">
        <v>50</v>
      </c>
      <c r="J818">
        <v>18090</v>
      </c>
      <c r="K818">
        <v>904500</v>
      </c>
      <c r="L818">
        <v>0</v>
      </c>
      <c r="M818">
        <v>904500</v>
      </c>
      <c r="N818" t="s">
        <v>897</v>
      </c>
      <c r="O818" t="s">
        <v>680</v>
      </c>
    </row>
    <row r="819" spans="1:15" x14ac:dyDescent="0.3">
      <c r="A819" t="str">
        <f t="shared" si="12"/>
        <v>WDWP000035-R000-SO</v>
      </c>
      <c r="B819" t="s">
        <v>14</v>
      </c>
      <c r="C819" t="s">
        <v>1888</v>
      </c>
      <c r="D819" t="s">
        <v>301</v>
      </c>
      <c r="E819" t="s">
        <v>1889</v>
      </c>
      <c r="F819" t="s">
        <v>18</v>
      </c>
      <c r="G819" t="s">
        <v>19</v>
      </c>
      <c r="H819">
        <v>0</v>
      </c>
      <c r="I819">
        <v>75</v>
      </c>
      <c r="J819">
        <v>18090</v>
      </c>
      <c r="K819">
        <v>1356750</v>
      </c>
      <c r="L819">
        <v>0</v>
      </c>
      <c r="M819">
        <v>1356750</v>
      </c>
      <c r="N819" t="s">
        <v>897</v>
      </c>
      <c r="O819" t="s">
        <v>680</v>
      </c>
    </row>
    <row r="820" spans="1:15" x14ac:dyDescent="0.3">
      <c r="A820" t="str">
        <f t="shared" si="12"/>
        <v>WDWP000140-R000-WW</v>
      </c>
      <c r="B820" t="s">
        <v>14</v>
      </c>
      <c r="C820" t="s">
        <v>844</v>
      </c>
      <c r="D820" t="s">
        <v>28</v>
      </c>
      <c r="E820" t="s">
        <v>845</v>
      </c>
      <c r="F820" t="s">
        <v>18</v>
      </c>
      <c r="G820" t="s">
        <v>239</v>
      </c>
      <c r="H820">
        <v>0</v>
      </c>
      <c r="I820">
        <v>350</v>
      </c>
      <c r="J820">
        <v>28050</v>
      </c>
      <c r="K820">
        <v>9817500</v>
      </c>
      <c r="L820">
        <v>0</v>
      </c>
      <c r="M820">
        <v>9817500</v>
      </c>
      <c r="N820" t="s">
        <v>846</v>
      </c>
      <c r="O820" t="s">
        <v>680</v>
      </c>
    </row>
    <row r="821" spans="1:15" x14ac:dyDescent="0.3">
      <c r="A821" t="str">
        <f t="shared" si="12"/>
        <v>WDWP000141-R000-SO</v>
      </c>
      <c r="B821" t="s">
        <v>14</v>
      </c>
      <c r="C821" t="s">
        <v>847</v>
      </c>
      <c r="D821" t="s">
        <v>301</v>
      </c>
      <c r="E821" t="s">
        <v>1890</v>
      </c>
      <c r="F821" t="s">
        <v>18</v>
      </c>
      <c r="G821" t="s">
        <v>111</v>
      </c>
      <c r="H821">
        <v>0</v>
      </c>
      <c r="I821">
        <v>1</v>
      </c>
      <c r="J821">
        <v>46950</v>
      </c>
      <c r="K821">
        <v>46950</v>
      </c>
      <c r="L821">
        <v>0</v>
      </c>
      <c r="M821">
        <v>46950</v>
      </c>
      <c r="N821" t="s">
        <v>903</v>
      </c>
      <c r="O821" t="s">
        <v>680</v>
      </c>
    </row>
    <row r="822" spans="1:15" x14ac:dyDescent="0.3">
      <c r="A822" t="str">
        <f t="shared" si="12"/>
        <v>WDWP000141-R000-SP</v>
      </c>
      <c r="B822" t="s">
        <v>14</v>
      </c>
      <c r="C822" t="s">
        <v>847</v>
      </c>
      <c r="D822" t="s">
        <v>201</v>
      </c>
      <c r="E822" t="s">
        <v>1891</v>
      </c>
      <c r="F822" t="s">
        <v>18</v>
      </c>
      <c r="G822" t="s">
        <v>1855</v>
      </c>
      <c r="H822">
        <v>0</v>
      </c>
      <c r="I822">
        <v>1</v>
      </c>
      <c r="J822">
        <v>47160</v>
      </c>
      <c r="K822">
        <v>47160</v>
      </c>
      <c r="L822">
        <v>0</v>
      </c>
      <c r="M822">
        <v>47160</v>
      </c>
      <c r="N822" t="s">
        <v>686</v>
      </c>
      <c r="O822" t="s">
        <v>680</v>
      </c>
    </row>
    <row r="823" spans="1:15" x14ac:dyDescent="0.3">
      <c r="A823" t="str">
        <f t="shared" si="12"/>
        <v>WDWP000142-R000-FK</v>
      </c>
      <c r="B823" t="s">
        <v>14</v>
      </c>
      <c r="C823" t="s">
        <v>848</v>
      </c>
      <c r="D823" t="s">
        <v>229</v>
      </c>
      <c r="E823" t="s">
        <v>1887</v>
      </c>
      <c r="F823" t="s">
        <v>18</v>
      </c>
      <c r="G823" t="s">
        <v>914</v>
      </c>
      <c r="H823">
        <v>0</v>
      </c>
      <c r="I823">
        <v>2</v>
      </c>
      <c r="J823">
        <v>37480</v>
      </c>
      <c r="K823">
        <v>74960</v>
      </c>
      <c r="L823">
        <v>0</v>
      </c>
      <c r="M823">
        <v>74960</v>
      </c>
      <c r="N823" t="s">
        <v>689</v>
      </c>
      <c r="O823" t="s">
        <v>680</v>
      </c>
    </row>
    <row r="824" spans="1:15" x14ac:dyDescent="0.3">
      <c r="A824" t="str">
        <f t="shared" si="12"/>
        <v>WDWP000142-R000-FK</v>
      </c>
      <c r="B824" t="s">
        <v>14</v>
      </c>
      <c r="C824" t="s">
        <v>848</v>
      </c>
      <c r="D824" t="s">
        <v>229</v>
      </c>
      <c r="E824" t="s">
        <v>1887</v>
      </c>
      <c r="F824" t="s">
        <v>18</v>
      </c>
      <c r="G824" t="s">
        <v>1855</v>
      </c>
      <c r="H824">
        <v>0</v>
      </c>
      <c r="I824">
        <v>120</v>
      </c>
      <c r="J824">
        <v>37480</v>
      </c>
      <c r="K824">
        <v>4497600</v>
      </c>
      <c r="L824">
        <v>0</v>
      </c>
      <c r="M824">
        <v>4497600</v>
      </c>
      <c r="N824" t="s">
        <v>689</v>
      </c>
      <c r="O824" t="s">
        <v>680</v>
      </c>
    </row>
    <row r="825" spans="1:15" x14ac:dyDescent="0.3">
      <c r="A825" t="str">
        <f t="shared" si="12"/>
        <v>WDWP000142-R000-KAP</v>
      </c>
      <c r="B825" t="s">
        <v>14</v>
      </c>
      <c r="C825" t="s">
        <v>848</v>
      </c>
      <c r="D825" t="s">
        <v>261</v>
      </c>
      <c r="E825" t="s">
        <v>849</v>
      </c>
      <c r="F825" t="s">
        <v>18</v>
      </c>
      <c r="G825" t="s">
        <v>239</v>
      </c>
      <c r="H825">
        <v>0</v>
      </c>
      <c r="I825">
        <v>5</v>
      </c>
      <c r="J825">
        <v>39920</v>
      </c>
      <c r="K825">
        <v>199600</v>
      </c>
      <c r="L825">
        <v>0</v>
      </c>
      <c r="M825">
        <v>199600</v>
      </c>
      <c r="N825" t="s">
        <v>689</v>
      </c>
      <c r="O825" t="s">
        <v>680</v>
      </c>
    </row>
    <row r="826" spans="1:15" x14ac:dyDescent="0.3">
      <c r="A826" t="str">
        <f t="shared" si="12"/>
        <v>WDWP000142-R000-KAP</v>
      </c>
      <c r="B826" t="s">
        <v>14</v>
      </c>
      <c r="C826" t="s">
        <v>848</v>
      </c>
      <c r="D826" t="s">
        <v>261</v>
      </c>
      <c r="E826" t="s">
        <v>849</v>
      </c>
      <c r="F826" t="s">
        <v>18</v>
      </c>
      <c r="G826" t="s">
        <v>239</v>
      </c>
      <c r="H826">
        <v>0</v>
      </c>
      <c r="I826">
        <v>25</v>
      </c>
      <c r="J826">
        <v>39290</v>
      </c>
      <c r="K826">
        <v>982250</v>
      </c>
      <c r="L826">
        <v>0</v>
      </c>
      <c r="M826">
        <v>982250</v>
      </c>
      <c r="N826" t="s">
        <v>689</v>
      </c>
      <c r="O826" t="s">
        <v>680</v>
      </c>
    </row>
    <row r="827" spans="1:15" x14ac:dyDescent="0.3">
      <c r="A827" t="str">
        <f t="shared" si="12"/>
        <v>WDWP000142-R000-OAT</v>
      </c>
      <c r="B827" t="s">
        <v>14</v>
      </c>
      <c r="C827" t="s">
        <v>848</v>
      </c>
      <c r="D827" t="s">
        <v>223</v>
      </c>
      <c r="E827" t="s">
        <v>850</v>
      </c>
      <c r="F827" t="s">
        <v>18</v>
      </c>
      <c r="G827" t="s">
        <v>246</v>
      </c>
      <c r="H827">
        <v>0</v>
      </c>
      <c r="I827">
        <v>80</v>
      </c>
      <c r="J827">
        <v>37640</v>
      </c>
      <c r="K827">
        <v>3011200</v>
      </c>
      <c r="L827">
        <v>0</v>
      </c>
      <c r="M827">
        <v>3011200</v>
      </c>
      <c r="N827" t="s">
        <v>851</v>
      </c>
      <c r="O827" t="s">
        <v>680</v>
      </c>
    </row>
    <row r="828" spans="1:15" x14ac:dyDescent="0.3">
      <c r="A828" t="str">
        <f t="shared" si="12"/>
        <v>WDWP000142-R000-SP</v>
      </c>
      <c r="B828" t="s">
        <v>14</v>
      </c>
      <c r="C828" t="s">
        <v>848</v>
      </c>
      <c r="D828" t="s">
        <v>201</v>
      </c>
      <c r="E828" t="s">
        <v>1892</v>
      </c>
      <c r="F828" t="s">
        <v>18</v>
      </c>
      <c r="G828" t="s">
        <v>111</v>
      </c>
      <c r="H828">
        <v>0</v>
      </c>
      <c r="I828">
        <v>10</v>
      </c>
      <c r="J828">
        <v>38400</v>
      </c>
      <c r="K828">
        <v>384000</v>
      </c>
      <c r="L828">
        <v>0</v>
      </c>
      <c r="M828">
        <v>384000</v>
      </c>
      <c r="N828" t="s">
        <v>689</v>
      </c>
      <c r="O828" t="s">
        <v>680</v>
      </c>
    </row>
    <row r="829" spans="1:15" x14ac:dyDescent="0.3">
      <c r="A829" t="str">
        <f t="shared" si="12"/>
        <v>WDWP000142-R000-SP</v>
      </c>
      <c r="B829" t="s">
        <v>14</v>
      </c>
      <c r="C829" t="s">
        <v>848</v>
      </c>
      <c r="D829" t="s">
        <v>201</v>
      </c>
      <c r="E829" t="s">
        <v>1892</v>
      </c>
      <c r="F829" t="s">
        <v>18</v>
      </c>
      <c r="G829" t="s">
        <v>1855</v>
      </c>
      <c r="H829">
        <v>0</v>
      </c>
      <c r="I829">
        <v>1</v>
      </c>
      <c r="J829">
        <v>38400</v>
      </c>
      <c r="K829">
        <v>38400</v>
      </c>
      <c r="L829">
        <v>0</v>
      </c>
      <c r="M829">
        <v>38400</v>
      </c>
      <c r="N829" t="s">
        <v>689</v>
      </c>
      <c r="O829" t="s">
        <v>680</v>
      </c>
    </row>
    <row r="830" spans="1:15" x14ac:dyDescent="0.3">
      <c r="A830" t="str">
        <f t="shared" si="12"/>
        <v>WDWP000142-R000-WW</v>
      </c>
      <c r="B830" t="s">
        <v>14</v>
      </c>
      <c r="C830" t="s">
        <v>848</v>
      </c>
      <c r="D830" t="s">
        <v>28</v>
      </c>
      <c r="E830" t="s">
        <v>743</v>
      </c>
      <c r="F830" t="s">
        <v>18</v>
      </c>
      <c r="G830" t="s">
        <v>1855</v>
      </c>
      <c r="H830">
        <v>0</v>
      </c>
      <c r="I830">
        <v>40</v>
      </c>
      <c r="J830">
        <v>36490</v>
      </c>
      <c r="K830">
        <v>1459600</v>
      </c>
      <c r="L830">
        <v>0</v>
      </c>
      <c r="M830">
        <v>1459600</v>
      </c>
      <c r="N830" t="s">
        <v>744</v>
      </c>
      <c r="O830" t="s">
        <v>680</v>
      </c>
    </row>
    <row r="831" spans="1:15" x14ac:dyDescent="0.3">
      <c r="A831" t="str">
        <f t="shared" si="12"/>
        <v>WDWP000145-R000-FIV</v>
      </c>
      <c r="B831" t="s">
        <v>14</v>
      </c>
      <c r="C831" t="s">
        <v>852</v>
      </c>
      <c r="D831" t="s">
        <v>195</v>
      </c>
      <c r="E831" t="s">
        <v>1893</v>
      </c>
      <c r="F831" t="s">
        <v>18</v>
      </c>
      <c r="G831" t="s">
        <v>111</v>
      </c>
      <c r="H831">
        <v>0</v>
      </c>
      <c r="I831">
        <v>20</v>
      </c>
      <c r="J831">
        <v>31810</v>
      </c>
      <c r="K831">
        <v>636200</v>
      </c>
      <c r="L831">
        <v>0</v>
      </c>
      <c r="M831">
        <v>636200</v>
      </c>
      <c r="N831" t="s">
        <v>683</v>
      </c>
      <c r="O831" t="s">
        <v>680</v>
      </c>
    </row>
    <row r="832" spans="1:15" x14ac:dyDescent="0.3">
      <c r="A832" t="str">
        <f t="shared" si="12"/>
        <v>WDWP000145-R000-GYM</v>
      </c>
      <c r="B832" t="s">
        <v>14</v>
      </c>
      <c r="C832" t="s">
        <v>852</v>
      </c>
      <c r="D832" t="s">
        <v>570</v>
      </c>
      <c r="E832" t="s">
        <v>853</v>
      </c>
      <c r="F832" t="s">
        <v>18</v>
      </c>
      <c r="G832" t="s">
        <v>111</v>
      </c>
      <c r="H832">
        <v>0</v>
      </c>
      <c r="I832">
        <v>43</v>
      </c>
      <c r="J832">
        <v>31690</v>
      </c>
      <c r="K832">
        <v>1362670</v>
      </c>
      <c r="L832">
        <v>0</v>
      </c>
      <c r="M832">
        <v>1362670</v>
      </c>
      <c r="N832" t="s">
        <v>683</v>
      </c>
      <c r="O832" t="s">
        <v>680</v>
      </c>
    </row>
    <row r="833" spans="1:15" x14ac:dyDescent="0.3">
      <c r="A833" t="str">
        <f t="shared" si="12"/>
        <v>WDWP000145-R000-GYM</v>
      </c>
      <c r="B833" t="s">
        <v>14</v>
      </c>
      <c r="C833" t="s">
        <v>852</v>
      </c>
      <c r="D833" t="s">
        <v>570</v>
      </c>
      <c r="E833" t="s">
        <v>853</v>
      </c>
      <c r="F833" t="s">
        <v>18</v>
      </c>
      <c r="G833" t="s">
        <v>26</v>
      </c>
      <c r="H833">
        <v>0</v>
      </c>
      <c r="I833">
        <v>230</v>
      </c>
      <c r="J833">
        <v>31690</v>
      </c>
      <c r="K833">
        <v>7288700</v>
      </c>
      <c r="L833">
        <v>0</v>
      </c>
      <c r="M833">
        <v>7288700</v>
      </c>
      <c r="N833" t="s">
        <v>683</v>
      </c>
      <c r="O833" t="s">
        <v>680</v>
      </c>
    </row>
    <row r="834" spans="1:15" x14ac:dyDescent="0.3">
      <c r="A834" t="str">
        <f t="shared" si="12"/>
        <v>WDWP000145-R000-IV</v>
      </c>
      <c r="B834" t="s">
        <v>14</v>
      </c>
      <c r="C834" t="s">
        <v>852</v>
      </c>
      <c r="D834" t="s">
        <v>214</v>
      </c>
      <c r="E834" t="s">
        <v>730</v>
      </c>
      <c r="F834" t="s">
        <v>18</v>
      </c>
      <c r="G834" t="s">
        <v>26</v>
      </c>
      <c r="H834">
        <v>0</v>
      </c>
      <c r="I834">
        <v>-2</v>
      </c>
      <c r="J834">
        <v>31160</v>
      </c>
      <c r="K834">
        <v>-62320</v>
      </c>
      <c r="L834">
        <v>0</v>
      </c>
      <c r="M834">
        <v>-62320</v>
      </c>
      <c r="N834" t="s">
        <v>731</v>
      </c>
      <c r="O834" t="s">
        <v>680</v>
      </c>
    </row>
    <row r="835" spans="1:15" x14ac:dyDescent="0.3">
      <c r="A835" t="str">
        <f t="shared" ref="A835:A898" si="13">C835&amp;"-"&amp;D835</f>
        <v>WDWP000145-R000-IV</v>
      </c>
      <c r="B835" t="s">
        <v>14</v>
      </c>
      <c r="C835" t="s">
        <v>852</v>
      </c>
      <c r="D835" t="s">
        <v>214</v>
      </c>
      <c r="E835" t="s">
        <v>730</v>
      </c>
      <c r="F835" t="s">
        <v>18</v>
      </c>
      <c r="G835" t="s">
        <v>111</v>
      </c>
      <c r="H835">
        <v>0</v>
      </c>
      <c r="I835">
        <v>40</v>
      </c>
      <c r="J835">
        <v>31270</v>
      </c>
      <c r="K835">
        <v>1250800</v>
      </c>
      <c r="L835">
        <v>0</v>
      </c>
      <c r="M835">
        <v>1250800</v>
      </c>
      <c r="N835" t="s">
        <v>731</v>
      </c>
      <c r="O835" t="s">
        <v>680</v>
      </c>
    </row>
    <row r="836" spans="1:15" x14ac:dyDescent="0.3">
      <c r="A836" t="str">
        <f t="shared" si="13"/>
        <v>WDWP000145-R000-LD</v>
      </c>
      <c r="B836" t="s">
        <v>14</v>
      </c>
      <c r="C836" t="s">
        <v>852</v>
      </c>
      <c r="D836" t="s">
        <v>234</v>
      </c>
      <c r="E836" t="s">
        <v>854</v>
      </c>
      <c r="F836" t="s">
        <v>18</v>
      </c>
      <c r="G836" t="s">
        <v>111</v>
      </c>
      <c r="H836">
        <v>0</v>
      </c>
      <c r="I836">
        <v>2</v>
      </c>
      <c r="J836">
        <v>33630</v>
      </c>
      <c r="K836">
        <v>67260</v>
      </c>
      <c r="L836">
        <v>0</v>
      </c>
      <c r="M836">
        <v>67260</v>
      </c>
      <c r="N836" t="s">
        <v>683</v>
      </c>
      <c r="O836" t="s">
        <v>680</v>
      </c>
    </row>
    <row r="837" spans="1:15" x14ac:dyDescent="0.3">
      <c r="A837" t="str">
        <f t="shared" si="13"/>
        <v>WDWP000180-R000-SP</v>
      </c>
      <c r="B837" t="s">
        <v>14</v>
      </c>
      <c r="C837" t="s">
        <v>857</v>
      </c>
      <c r="D837" t="s">
        <v>201</v>
      </c>
      <c r="E837" t="s">
        <v>858</v>
      </c>
      <c r="F837" t="s">
        <v>18</v>
      </c>
      <c r="G837" t="s">
        <v>111</v>
      </c>
      <c r="H837">
        <v>0</v>
      </c>
      <c r="I837">
        <v>142</v>
      </c>
      <c r="J837">
        <v>27040</v>
      </c>
      <c r="K837">
        <v>3839680</v>
      </c>
      <c r="L837">
        <v>0</v>
      </c>
      <c r="M837">
        <v>3839680</v>
      </c>
      <c r="N837" t="s">
        <v>722</v>
      </c>
      <c r="O837" t="s">
        <v>680</v>
      </c>
    </row>
    <row r="838" spans="1:15" x14ac:dyDescent="0.3">
      <c r="A838" t="str">
        <f t="shared" si="13"/>
        <v>WDWP000258-R000-BK</v>
      </c>
      <c r="B838" t="s">
        <v>14</v>
      </c>
      <c r="C838" t="s">
        <v>859</v>
      </c>
      <c r="D838" t="s">
        <v>31</v>
      </c>
      <c r="E838" t="s">
        <v>1894</v>
      </c>
      <c r="F838" t="s">
        <v>18</v>
      </c>
      <c r="G838" t="s">
        <v>818</v>
      </c>
      <c r="H838">
        <v>0</v>
      </c>
      <c r="I838">
        <v>20</v>
      </c>
      <c r="J838">
        <v>22010</v>
      </c>
      <c r="K838">
        <v>440200</v>
      </c>
      <c r="L838">
        <v>0</v>
      </c>
      <c r="M838">
        <v>440200</v>
      </c>
      <c r="N838" t="s">
        <v>722</v>
      </c>
      <c r="O838" t="s">
        <v>680</v>
      </c>
    </row>
    <row r="839" spans="1:15" x14ac:dyDescent="0.3">
      <c r="A839" t="str">
        <f t="shared" si="13"/>
        <v>WDWP000258-R000-CC</v>
      </c>
      <c r="B839" t="s">
        <v>14</v>
      </c>
      <c r="C839" t="s">
        <v>859</v>
      </c>
      <c r="D839" t="s">
        <v>249</v>
      </c>
      <c r="E839" t="s">
        <v>860</v>
      </c>
      <c r="F839" t="s">
        <v>18</v>
      </c>
      <c r="G839" t="s">
        <v>119</v>
      </c>
      <c r="H839">
        <v>0</v>
      </c>
      <c r="I839">
        <v>7</v>
      </c>
      <c r="J839">
        <v>20830</v>
      </c>
      <c r="K839">
        <v>145810</v>
      </c>
      <c r="L839">
        <v>0</v>
      </c>
      <c r="M839">
        <v>145810</v>
      </c>
      <c r="N839" t="s">
        <v>727</v>
      </c>
      <c r="O839" t="s">
        <v>680</v>
      </c>
    </row>
    <row r="840" spans="1:15" x14ac:dyDescent="0.3">
      <c r="A840" t="str">
        <f t="shared" si="13"/>
        <v>WDWP000258-R000-CGYM</v>
      </c>
      <c r="B840" t="s">
        <v>14</v>
      </c>
      <c r="C840" t="s">
        <v>859</v>
      </c>
      <c r="D840" t="s">
        <v>921</v>
      </c>
      <c r="E840" t="s">
        <v>1895</v>
      </c>
      <c r="F840" t="s">
        <v>18</v>
      </c>
      <c r="G840" t="s">
        <v>35</v>
      </c>
      <c r="H840">
        <v>0</v>
      </c>
      <c r="I840">
        <v>2</v>
      </c>
      <c r="J840">
        <v>19750</v>
      </c>
      <c r="K840">
        <v>39500</v>
      </c>
      <c r="L840">
        <v>0</v>
      </c>
      <c r="M840">
        <v>39500</v>
      </c>
      <c r="N840" t="s">
        <v>727</v>
      </c>
      <c r="O840" t="s">
        <v>680</v>
      </c>
    </row>
    <row r="841" spans="1:15" x14ac:dyDescent="0.3">
      <c r="A841" t="str">
        <f t="shared" si="13"/>
        <v>WDWP000258-R000-CZ</v>
      </c>
      <c r="B841" t="s">
        <v>14</v>
      </c>
      <c r="C841" t="s">
        <v>859</v>
      </c>
      <c r="D841" t="s">
        <v>861</v>
      </c>
      <c r="E841" t="s">
        <v>862</v>
      </c>
      <c r="F841" t="s">
        <v>18</v>
      </c>
      <c r="G841" t="s">
        <v>35</v>
      </c>
      <c r="H841">
        <v>0</v>
      </c>
      <c r="I841">
        <v>28</v>
      </c>
      <c r="J841">
        <v>21600</v>
      </c>
      <c r="K841">
        <v>604800</v>
      </c>
      <c r="L841">
        <v>0</v>
      </c>
      <c r="M841">
        <v>604800</v>
      </c>
      <c r="N841" t="s">
        <v>863</v>
      </c>
      <c r="O841" t="s">
        <v>680</v>
      </c>
    </row>
    <row r="842" spans="1:15" x14ac:dyDescent="0.3">
      <c r="A842" t="str">
        <f t="shared" si="13"/>
        <v>WDWP000258-R000-CZ</v>
      </c>
      <c r="B842" t="s">
        <v>14</v>
      </c>
      <c r="C842" t="s">
        <v>859</v>
      </c>
      <c r="D842" t="s">
        <v>861</v>
      </c>
      <c r="E842" t="s">
        <v>862</v>
      </c>
      <c r="F842" t="s">
        <v>18</v>
      </c>
      <c r="G842" t="s">
        <v>111</v>
      </c>
      <c r="H842">
        <v>0</v>
      </c>
      <c r="I842">
        <v>24</v>
      </c>
      <c r="J842">
        <v>21180</v>
      </c>
      <c r="K842">
        <v>508320</v>
      </c>
      <c r="L842">
        <v>0</v>
      </c>
      <c r="M842">
        <v>508320</v>
      </c>
      <c r="N842" t="s">
        <v>863</v>
      </c>
      <c r="O842" t="s">
        <v>680</v>
      </c>
    </row>
    <row r="843" spans="1:15" x14ac:dyDescent="0.3">
      <c r="A843" t="str">
        <f t="shared" si="13"/>
        <v>WDWP000258-R000-FIV</v>
      </c>
      <c r="B843" t="s">
        <v>14</v>
      </c>
      <c r="C843" t="s">
        <v>859</v>
      </c>
      <c r="D843" t="s">
        <v>195</v>
      </c>
      <c r="E843" t="s">
        <v>864</v>
      </c>
      <c r="F843" t="s">
        <v>18</v>
      </c>
      <c r="G843" t="s">
        <v>174</v>
      </c>
      <c r="H843">
        <v>0</v>
      </c>
      <c r="I843">
        <v>-7</v>
      </c>
      <c r="J843">
        <v>20730</v>
      </c>
      <c r="K843">
        <v>-145110</v>
      </c>
      <c r="L843">
        <v>0</v>
      </c>
      <c r="M843">
        <v>-145110</v>
      </c>
      <c r="N843" t="s">
        <v>722</v>
      </c>
      <c r="O843" t="s">
        <v>680</v>
      </c>
    </row>
    <row r="844" spans="1:15" x14ac:dyDescent="0.3">
      <c r="A844" t="str">
        <f t="shared" si="13"/>
        <v>WDWP000258-R000-FIV</v>
      </c>
      <c r="B844" t="s">
        <v>14</v>
      </c>
      <c r="C844" t="s">
        <v>859</v>
      </c>
      <c r="D844" t="s">
        <v>195</v>
      </c>
      <c r="E844" t="s">
        <v>864</v>
      </c>
      <c r="F844" t="s">
        <v>18</v>
      </c>
      <c r="G844" t="s">
        <v>111</v>
      </c>
      <c r="H844">
        <v>0</v>
      </c>
      <c r="I844">
        <v>25</v>
      </c>
      <c r="J844">
        <v>19910</v>
      </c>
      <c r="K844">
        <v>497750</v>
      </c>
      <c r="L844">
        <v>0</v>
      </c>
      <c r="M844">
        <v>497750</v>
      </c>
      <c r="N844" t="s">
        <v>722</v>
      </c>
      <c r="O844" t="s">
        <v>680</v>
      </c>
    </row>
    <row r="845" spans="1:15" x14ac:dyDescent="0.3">
      <c r="A845" t="str">
        <f t="shared" si="13"/>
        <v>WDWP000258-R000-GU</v>
      </c>
      <c r="B845" t="s">
        <v>14</v>
      </c>
      <c r="C845" t="s">
        <v>859</v>
      </c>
      <c r="D845" t="s">
        <v>274</v>
      </c>
      <c r="E845" t="s">
        <v>865</v>
      </c>
      <c r="F845" t="s">
        <v>18</v>
      </c>
      <c r="G845" t="s">
        <v>210</v>
      </c>
      <c r="H845">
        <v>0</v>
      </c>
      <c r="I845">
        <v>60</v>
      </c>
      <c r="J845">
        <v>19630</v>
      </c>
      <c r="K845">
        <v>1177800</v>
      </c>
      <c r="L845">
        <v>0</v>
      </c>
      <c r="M845">
        <v>1177800</v>
      </c>
      <c r="N845" t="s">
        <v>727</v>
      </c>
      <c r="O845" t="s">
        <v>680</v>
      </c>
    </row>
    <row r="846" spans="1:15" x14ac:dyDescent="0.3">
      <c r="A846" t="str">
        <f t="shared" si="13"/>
        <v>WDWP000258-R000-GU</v>
      </c>
      <c r="B846" t="s">
        <v>14</v>
      </c>
      <c r="C846" t="s">
        <v>859</v>
      </c>
      <c r="D846" t="s">
        <v>274</v>
      </c>
      <c r="E846" t="s">
        <v>865</v>
      </c>
      <c r="F846" t="s">
        <v>18</v>
      </c>
      <c r="G846" t="s">
        <v>111</v>
      </c>
      <c r="H846">
        <v>0</v>
      </c>
      <c r="I846">
        <v>17</v>
      </c>
      <c r="J846">
        <v>19630</v>
      </c>
      <c r="K846">
        <v>333710</v>
      </c>
      <c r="L846">
        <v>0</v>
      </c>
      <c r="M846">
        <v>333710</v>
      </c>
      <c r="N846" t="s">
        <v>727</v>
      </c>
      <c r="O846" t="s">
        <v>680</v>
      </c>
    </row>
    <row r="847" spans="1:15" x14ac:dyDescent="0.3">
      <c r="A847" t="str">
        <f t="shared" si="13"/>
        <v>WDWP000258-R000-GYM</v>
      </c>
      <c r="B847" t="s">
        <v>14</v>
      </c>
      <c r="C847" t="s">
        <v>859</v>
      </c>
      <c r="D847" t="s">
        <v>570</v>
      </c>
      <c r="E847" t="s">
        <v>866</v>
      </c>
      <c r="F847" t="s">
        <v>18</v>
      </c>
      <c r="G847" t="s">
        <v>119</v>
      </c>
      <c r="H847">
        <v>0</v>
      </c>
      <c r="I847">
        <v>4</v>
      </c>
      <c r="J847">
        <v>20210</v>
      </c>
      <c r="K847">
        <v>80840</v>
      </c>
      <c r="L847">
        <v>0</v>
      </c>
      <c r="M847">
        <v>80840</v>
      </c>
      <c r="N847" t="s">
        <v>727</v>
      </c>
      <c r="O847" t="s">
        <v>680</v>
      </c>
    </row>
    <row r="848" spans="1:15" x14ac:dyDescent="0.3">
      <c r="A848" t="str">
        <f t="shared" si="13"/>
        <v>WDWP000258-R000-GYM</v>
      </c>
      <c r="B848" t="s">
        <v>14</v>
      </c>
      <c r="C848" t="s">
        <v>859</v>
      </c>
      <c r="D848" t="s">
        <v>570</v>
      </c>
      <c r="E848" t="s">
        <v>866</v>
      </c>
      <c r="F848" t="s">
        <v>18</v>
      </c>
      <c r="G848" t="s">
        <v>210</v>
      </c>
      <c r="H848">
        <v>0</v>
      </c>
      <c r="I848">
        <v>125</v>
      </c>
      <c r="J848">
        <v>19790</v>
      </c>
      <c r="K848">
        <v>2473750</v>
      </c>
      <c r="L848">
        <v>0</v>
      </c>
      <c r="M848">
        <v>2473750</v>
      </c>
      <c r="N848" t="s">
        <v>727</v>
      </c>
      <c r="O848" t="s">
        <v>680</v>
      </c>
    </row>
    <row r="849" spans="1:15" x14ac:dyDescent="0.3">
      <c r="A849" t="str">
        <f t="shared" si="13"/>
        <v>WDWP000258-R000-GYM</v>
      </c>
      <c r="B849" t="s">
        <v>14</v>
      </c>
      <c r="C849" t="s">
        <v>859</v>
      </c>
      <c r="D849" t="s">
        <v>570</v>
      </c>
      <c r="E849" t="s">
        <v>866</v>
      </c>
      <c r="F849" t="s">
        <v>18</v>
      </c>
      <c r="G849" t="s">
        <v>68</v>
      </c>
      <c r="H849">
        <v>0</v>
      </c>
      <c r="I849">
        <v>156</v>
      </c>
      <c r="J849">
        <v>19790</v>
      </c>
      <c r="K849">
        <v>3087240</v>
      </c>
      <c r="L849">
        <v>0</v>
      </c>
      <c r="M849">
        <v>3087240</v>
      </c>
      <c r="N849" t="s">
        <v>727</v>
      </c>
      <c r="O849" t="s">
        <v>680</v>
      </c>
    </row>
    <row r="850" spans="1:15" x14ac:dyDescent="0.3">
      <c r="A850" t="str">
        <f t="shared" si="13"/>
        <v>WDWP000258-R000-GYM</v>
      </c>
      <c r="B850" t="s">
        <v>14</v>
      </c>
      <c r="C850" t="s">
        <v>859</v>
      </c>
      <c r="D850" t="s">
        <v>570</v>
      </c>
      <c r="E850" t="s">
        <v>866</v>
      </c>
      <c r="F850" t="s">
        <v>18</v>
      </c>
      <c r="G850" t="s">
        <v>35</v>
      </c>
      <c r="H850">
        <v>0</v>
      </c>
      <c r="I850">
        <v>360</v>
      </c>
      <c r="J850">
        <v>19790</v>
      </c>
      <c r="K850">
        <v>7124400</v>
      </c>
      <c r="L850">
        <v>0</v>
      </c>
      <c r="M850">
        <v>7124400</v>
      </c>
      <c r="N850" t="s">
        <v>727</v>
      </c>
      <c r="O850" t="s">
        <v>680</v>
      </c>
    </row>
    <row r="851" spans="1:15" x14ac:dyDescent="0.3">
      <c r="A851" t="str">
        <f t="shared" si="13"/>
        <v>WDWP000258-R000-GYM</v>
      </c>
      <c r="B851" t="s">
        <v>14</v>
      </c>
      <c r="C851" t="s">
        <v>859</v>
      </c>
      <c r="D851" t="s">
        <v>570</v>
      </c>
      <c r="E851" t="s">
        <v>866</v>
      </c>
      <c r="F851" t="s">
        <v>18</v>
      </c>
      <c r="G851" t="s">
        <v>19</v>
      </c>
      <c r="H851">
        <v>0</v>
      </c>
      <c r="I851">
        <v>180</v>
      </c>
      <c r="J851">
        <v>19790</v>
      </c>
      <c r="K851">
        <v>3562200</v>
      </c>
      <c r="L851">
        <v>0</v>
      </c>
      <c r="M851">
        <v>3562200</v>
      </c>
      <c r="N851" t="s">
        <v>727</v>
      </c>
      <c r="O851" t="s">
        <v>680</v>
      </c>
    </row>
    <row r="852" spans="1:15" x14ac:dyDescent="0.3">
      <c r="A852" t="str">
        <f t="shared" si="13"/>
        <v>WDWP000258-R000-GYM</v>
      </c>
      <c r="B852" t="s">
        <v>14</v>
      </c>
      <c r="C852" t="s">
        <v>859</v>
      </c>
      <c r="D852" t="s">
        <v>570</v>
      </c>
      <c r="E852" t="s">
        <v>866</v>
      </c>
      <c r="F852" t="s">
        <v>18</v>
      </c>
      <c r="G852" t="s">
        <v>111</v>
      </c>
      <c r="H852">
        <v>0</v>
      </c>
      <c r="I852">
        <v>110</v>
      </c>
      <c r="J852">
        <v>19790</v>
      </c>
      <c r="K852">
        <v>2176900</v>
      </c>
      <c r="L852">
        <v>0</v>
      </c>
      <c r="M852">
        <v>2176900</v>
      </c>
      <c r="N852" t="s">
        <v>727</v>
      </c>
      <c r="O852" t="s">
        <v>680</v>
      </c>
    </row>
    <row r="853" spans="1:15" x14ac:dyDescent="0.3">
      <c r="A853" t="str">
        <f t="shared" si="13"/>
        <v>WDWP000258-R000-GYM</v>
      </c>
      <c r="B853" t="s">
        <v>14</v>
      </c>
      <c r="C853" t="s">
        <v>859</v>
      </c>
      <c r="D853" t="s">
        <v>570</v>
      </c>
      <c r="E853" t="s">
        <v>866</v>
      </c>
      <c r="F853" t="s">
        <v>18</v>
      </c>
      <c r="G853" t="s">
        <v>83</v>
      </c>
      <c r="H853">
        <v>0</v>
      </c>
      <c r="I853">
        <v>150</v>
      </c>
      <c r="J853">
        <v>19790</v>
      </c>
      <c r="K853">
        <v>2968500</v>
      </c>
      <c r="L853">
        <v>0</v>
      </c>
      <c r="M853">
        <v>2968500</v>
      </c>
      <c r="N853" t="s">
        <v>727</v>
      </c>
      <c r="O853" t="s">
        <v>680</v>
      </c>
    </row>
    <row r="854" spans="1:15" x14ac:dyDescent="0.3">
      <c r="A854" t="str">
        <f t="shared" si="13"/>
        <v>WDWP000258-R000-HW</v>
      </c>
      <c r="B854" t="s">
        <v>14</v>
      </c>
      <c r="C854" t="s">
        <v>859</v>
      </c>
      <c r="D854" t="s">
        <v>867</v>
      </c>
      <c r="E854" t="s">
        <v>1896</v>
      </c>
      <c r="F854" t="s">
        <v>18</v>
      </c>
      <c r="G854" t="s">
        <v>111</v>
      </c>
      <c r="H854">
        <v>0</v>
      </c>
      <c r="I854">
        <v>55</v>
      </c>
      <c r="J854">
        <v>20350</v>
      </c>
      <c r="K854">
        <v>1119250</v>
      </c>
      <c r="L854">
        <v>0</v>
      </c>
      <c r="M854">
        <v>1119250</v>
      </c>
      <c r="N854" t="s">
        <v>727</v>
      </c>
      <c r="O854" t="s">
        <v>680</v>
      </c>
    </row>
    <row r="855" spans="1:15" x14ac:dyDescent="0.3">
      <c r="A855" t="str">
        <f t="shared" si="13"/>
        <v>WDWP000258-R000-IV</v>
      </c>
      <c r="B855" t="s">
        <v>14</v>
      </c>
      <c r="C855" t="s">
        <v>859</v>
      </c>
      <c r="D855" t="s">
        <v>214</v>
      </c>
      <c r="E855" t="s">
        <v>748</v>
      </c>
      <c r="F855" t="s">
        <v>18</v>
      </c>
      <c r="G855" t="s">
        <v>246</v>
      </c>
      <c r="H855">
        <v>0</v>
      </c>
      <c r="I855">
        <v>180</v>
      </c>
      <c r="J855">
        <v>19370</v>
      </c>
      <c r="K855">
        <v>3486600</v>
      </c>
      <c r="L855">
        <v>0</v>
      </c>
      <c r="M855">
        <v>3486600</v>
      </c>
      <c r="N855" t="s">
        <v>727</v>
      </c>
      <c r="O855" t="s">
        <v>680</v>
      </c>
    </row>
    <row r="856" spans="1:15" x14ac:dyDescent="0.3">
      <c r="A856" t="str">
        <f t="shared" si="13"/>
        <v>WDWP000258-R000-IV</v>
      </c>
      <c r="B856" t="s">
        <v>14</v>
      </c>
      <c r="C856" t="s">
        <v>859</v>
      </c>
      <c r="D856" t="s">
        <v>214</v>
      </c>
      <c r="E856" t="s">
        <v>748</v>
      </c>
      <c r="F856" t="s">
        <v>18</v>
      </c>
      <c r="G856" t="s">
        <v>49</v>
      </c>
      <c r="H856">
        <v>0</v>
      </c>
      <c r="I856">
        <v>1630</v>
      </c>
      <c r="J856">
        <v>19370</v>
      </c>
      <c r="K856">
        <v>31573100</v>
      </c>
      <c r="L856">
        <v>0</v>
      </c>
      <c r="M856">
        <v>31573100</v>
      </c>
      <c r="N856" t="s">
        <v>727</v>
      </c>
      <c r="O856" t="s">
        <v>680</v>
      </c>
    </row>
    <row r="857" spans="1:15" x14ac:dyDescent="0.3">
      <c r="A857" t="str">
        <f t="shared" si="13"/>
        <v>WDWP000258-R000-IV</v>
      </c>
      <c r="B857" t="s">
        <v>14</v>
      </c>
      <c r="C857" t="s">
        <v>859</v>
      </c>
      <c r="D857" t="s">
        <v>214</v>
      </c>
      <c r="E857" t="s">
        <v>748</v>
      </c>
      <c r="F857" t="s">
        <v>18</v>
      </c>
      <c r="G857" t="s">
        <v>19</v>
      </c>
      <c r="H857">
        <v>0</v>
      </c>
      <c r="I857">
        <v>660</v>
      </c>
      <c r="J857">
        <v>19370</v>
      </c>
      <c r="K857">
        <v>12784200</v>
      </c>
      <c r="L857">
        <v>0</v>
      </c>
      <c r="M857">
        <v>12784200</v>
      </c>
      <c r="N857" t="s">
        <v>727</v>
      </c>
      <c r="O857" t="s">
        <v>680</v>
      </c>
    </row>
    <row r="858" spans="1:15" x14ac:dyDescent="0.3">
      <c r="A858" t="str">
        <f t="shared" si="13"/>
        <v>WDWP000258-R000-IV</v>
      </c>
      <c r="B858" t="s">
        <v>14</v>
      </c>
      <c r="C858" t="s">
        <v>859</v>
      </c>
      <c r="D858" t="s">
        <v>214</v>
      </c>
      <c r="E858" t="s">
        <v>748</v>
      </c>
      <c r="F858" t="s">
        <v>18</v>
      </c>
      <c r="G858" t="s">
        <v>35</v>
      </c>
      <c r="H858">
        <v>0</v>
      </c>
      <c r="I858">
        <v>1080</v>
      </c>
      <c r="J858">
        <v>19370</v>
      </c>
      <c r="K858">
        <v>20919600</v>
      </c>
      <c r="L858">
        <v>0</v>
      </c>
      <c r="M858">
        <v>20919600</v>
      </c>
      <c r="N858" t="s">
        <v>727</v>
      </c>
      <c r="O858" t="s">
        <v>680</v>
      </c>
    </row>
    <row r="859" spans="1:15" x14ac:dyDescent="0.3">
      <c r="A859" t="str">
        <f t="shared" si="13"/>
        <v>WDWP000258-R000-IV</v>
      </c>
      <c r="B859" t="s">
        <v>14</v>
      </c>
      <c r="C859" t="s">
        <v>859</v>
      </c>
      <c r="D859" t="s">
        <v>214</v>
      </c>
      <c r="E859" t="s">
        <v>748</v>
      </c>
      <c r="F859" t="s">
        <v>18</v>
      </c>
      <c r="G859" t="s">
        <v>83</v>
      </c>
      <c r="H859">
        <v>0</v>
      </c>
      <c r="I859">
        <v>240</v>
      </c>
      <c r="J859">
        <v>19370</v>
      </c>
      <c r="K859">
        <v>4648800</v>
      </c>
      <c r="L859">
        <v>0</v>
      </c>
      <c r="M859">
        <v>4648800</v>
      </c>
      <c r="N859" t="s">
        <v>727</v>
      </c>
      <c r="O859" t="s">
        <v>680</v>
      </c>
    </row>
    <row r="860" spans="1:15" x14ac:dyDescent="0.3">
      <c r="A860" t="str">
        <f t="shared" si="13"/>
        <v>WDWP000258-R000-IV</v>
      </c>
      <c r="B860" t="s">
        <v>14</v>
      </c>
      <c r="C860" t="s">
        <v>859</v>
      </c>
      <c r="D860" t="s">
        <v>214</v>
      </c>
      <c r="E860" t="s">
        <v>748</v>
      </c>
      <c r="F860" t="s">
        <v>18</v>
      </c>
      <c r="G860" t="s">
        <v>210</v>
      </c>
      <c r="H860">
        <v>0</v>
      </c>
      <c r="I860">
        <v>120</v>
      </c>
      <c r="J860">
        <v>19370</v>
      </c>
      <c r="K860">
        <v>2324400</v>
      </c>
      <c r="L860">
        <v>0</v>
      </c>
      <c r="M860">
        <v>2324400</v>
      </c>
      <c r="N860" t="s">
        <v>727</v>
      </c>
      <c r="O860" t="s">
        <v>680</v>
      </c>
    </row>
    <row r="861" spans="1:15" x14ac:dyDescent="0.3">
      <c r="A861" t="str">
        <f t="shared" si="13"/>
        <v>WDWP000258-R000-IV</v>
      </c>
      <c r="B861" t="s">
        <v>14</v>
      </c>
      <c r="C861" t="s">
        <v>859</v>
      </c>
      <c r="D861" t="s">
        <v>214</v>
      </c>
      <c r="E861" t="s">
        <v>748</v>
      </c>
      <c r="F861" t="s">
        <v>18</v>
      </c>
      <c r="G861" t="s">
        <v>63</v>
      </c>
      <c r="H861">
        <v>0</v>
      </c>
      <c r="I861">
        <v>130</v>
      </c>
      <c r="J861">
        <v>19370</v>
      </c>
      <c r="K861">
        <v>2518100</v>
      </c>
      <c r="L861">
        <v>0</v>
      </c>
      <c r="M861">
        <v>2518100</v>
      </c>
      <c r="N861" t="s">
        <v>727</v>
      </c>
      <c r="O861" t="s">
        <v>680</v>
      </c>
    </row>
    <row r="862" spans="1:15" x14ac:dyDescent="0.3">
      <c r="A862" t="str">
        <f t="shared" si="13"/>
        <v>WDWP000258-R000-KR</v>
      </c>
      <c r="B862" t="s">
        <v>14</v>
      </c>
      <c r="C862" t="s">
        <v>859</v>
      </c>
      <c r="D862" t="s">
        <v>1897</v>
      </c>
      <c r="E862" t="s">
        <v>1898</v>
      </c>
      <c r="F862" t="s">
        <v>18</v>
      </c>
      <c r="G862" t="s">
        <v>246</v>
      </c>
      <c r="H862">
        <v>0</v>
      </c>
      <c r="I862">
        <v>4</v>
      </c>
      <c r="J862">
        <v>19790</v>
      </c>
      <c r="K862">
        <v>79160</v>
      </c>
      <c r="L862">
        <v>0</v>
      </c>
      <c r="M862">
        <v>79160</v>
      </c>
      <c r="N862" t="s">
        <v>727</v>
      </c>
      <c r="O862" t="s">
        <v>680</v>
      </c>
    </row>
    <row r="863" spans="1:15" x14ac:dyDescent="0.3">
      <c r="A863" t="str">
        <f t="shared" si="13"/>
        <v>WDWP000258-R000-LD</v>
      </c>
      <c r="B863" t="s">
        <v>14</v>
      </c>
      <c r="C863" t="s">
        <v>859</v>
      </c>
      <c r="D863" t="s">
        <v>234</v>
      </c>
      <c r="E863" t="s">
        <v>868</v>
      </c>
      <c r="F863" t="s">
        <v>18</v>
      </c>
      <c r="G863" t="s">
        <v>19</v>
      </c>
      <c r="H863">
        <v>0</v>
      </c>
      <c r="I863">
        <v>60</v>
      </c>
      <c r="J863">
        <v>21740</v>
      </c>
      <c r="K863">
        <v>1304400</v>
      </c>
      <c r="L863">
        <v>0</v>
      </c>
      <c r="M863">
        <v>1304400</v>
      </c>
      <c r="N863" t="s">
        <v>727</v>
      </c>
      <c r="O863" t="s">
        <v>680</v>
      </c>
    </row>
    <row r="864" spans="1:15" x14ac:dyDescent="0.3">
      <c r="A864" t="str">
        <f t="shared" si="13"/>
        <v>WDWP000258-R000-LT</v>
      </c>
      <c r="B864" t="s">
        <v>14</v>
      </c>
      <c r="C864" t="s">
        <v>859</v>
      </c>
      <c r="D864" t="s">
        <v>217</v>
      </c>
      <c r="E864" t="s">
        <v>721</v>
      </c>
      <c r="F864" t="s">
        <v>18</v>
      </c>
      <c r="G864" t="s">
        <v>35</v>
      </c>
      <c r="H864">
        <v>0</v>
      </c>
      <c r="I864">
        <v>30</v>
      </c>
      <c r="J864">
        <v>20600</v>
      </c>
      <c r="K864">
        <v>618000</v>
      </c>
      <c r="L864">
        <v>0</v>
      </c>
      <c r="M864">
        <v>618000</v>
      </c>
      <c r="N864" t="s">
        <v>722</v>
      </c>
      <c r="O864" t="s">
        <v>680</v>
      </c>
    </row>
    <row r="865" spans="1:15" x14ac:dyDescent="0.3">
      <c r="A865" t="str">
        <f t="shared" si="13"/>
        <v>WDWP000258-R000-MAC</v>
      </c>
      <c r="B865" t="s">
        <v>14</v>
      </c>
      <c r="C865" t="s">
        <v>859</v>
      </c>
      <c r="D865" t="s">
        <v>869</v>
      </c>
      <c r="E865" t="s">
        <v>870</v>
      </c>
      <c r="F865" t="s">
        <v>18</v>
      </c>
      <c r="G865" t="s">
        <v>35</v>
      </c>
      <c r="H865">
        <v>0</v>
      </c>
      <c r="I865">
        <v>60</v>
      </c>
      <c r="J865">
        <v>21130</v>
      </c>
      <c r="K865">
        <v>1267800</v>
      </c>
      <c r="L865">
        <v>0</v>
      </c>
      <c r="M865">
        <v>1267800</v>
      </c>
      <c r="N865" t="s">
        <v>871</v>
      </c>
      <c r="O865" t="s">
        <v>680</v>
      </c>
    </row>
    <row r="866" spans="1:15" x14ac:dyDescent="0.3">
      <c r="A866" t="str">
        <f t="shared" si="13"/>
        <v>WDWP000258-R000-ML</v>
      </c>
      <c r="B866" t="s">
        <v>14</v>
      </c>
      <c r="C866" t="s">
        <v>859</v>
      </c>
      <c r="D866" t="s">
        <v>755</v>
      </c>
      <c r="E866" t="s">
        <v>872</v>
      </c>
      <c r="F866" t="s">
        <v>18</v>
      </c>
      <c r="G866" t="s">
        <v>210</v>
      </c>
      <c r="H866">
        <v>0</v>
      </c>
      <c r="I866">
        <v>120</v>
      </c>
      <c r="J866">
        <v>20120</v>
      </c>
      <c r="K866">
        <v>2414400</v>
      </c>
      <c r="L866">
        <v>0</v>
      </c>
      <c r="M866">
        <v>2414400</v>
      </c>
      <c r="N866" t="s">
        <v>727</v>
      </c>
      <c r="O866" t="s">
        <v>680</v>
      </c>
    </row>
    <row r="867" spans="1:15" x14ac:dyDescent="0.3">
      <c r="A867" t="str">
        <f t="shared" si="13"/>
        <v>WDWP000258-R000-MM</v>
      </c>
      <c r="B867" t="s">
        <v>14</v>
      </c>
      <c r="C867" t="s">
        <v>859</v>
      </c>
      <c r="D867" t="s">
        <v>57</v>
      </c>
      <c r="E867" t="s">
        <v>726</v>
      </c>
      <c r="F867" t="s">
        <v>18</v>
      </c>
      <c r="G867" t="s">
        <v>914</v>
      </c>
      <c r="H867">
        <v>0</v>
      </c>
      <c r="I867">
        <v>5</v>
      </c>
      <c r="J867">
        <v>20580</v>
      </c>
      <c r="K867">
        <v>102900</v>
      </c>
      <c r="L867">
        <v>0</v>
      </c>
      <c r="M867">
        <v>102900</v>
      </c>
      <c r="N867" t="s">
        <v>727</v>
      </c>
      <c r="O867" t="s">
        <v>680</v>
      </c>
    </row>
    <row r="868" spans="1:15" x14ac:dyDescent="0.3">
      <c r="A868" t="str">
        <f t="shared" si="13"/>
        <v>WDWP000258-R000-MRB</v>
      </c>
      <c r="B868" t="s">
        <v>14</v>
      </c>
      <c r="C868" t="s">
        <v>859</v>
      </c>
      <c r="D868" t="s">
        <v>934</v>
      </c>
      <c r="E868" t="s">
        <v>1899</v>
      </c>
      <c r="F868" t="s">
        <v>18</v>
      </c>
      <c r="G868" t="s">
        <v>35</v>
      </c>
      <c r="H868">
        <v>0</v>
      </c>
      <c r="I868">
        <v>80</v>
      </c>
      <c r="J868">
        <v>21120</v>
      </c>
      <c r="K868">
        <v>1689600</v>
      </c>
      <c r="L868">
        <v>0</v>
      </c>
      <c r="M868">
        <v>1689600</v>
      </c>
      <c r="N868" t="s">
        <v>881</v>
      </c>
      <c r="O868" t="s">
        <v>680</v>
      </c>
    </row>
    <row r="869" spans="1:15" x14ac:dyDescent="0.3">
      <c r="A869" t="str">
        <f t="shared" si="13"/>
        <v>WDWP000258-R000-NBK</v>
      </c>
      <c r="B869" t="s">
        <v>14</v>
      </c>
      <c r="C869" t="s">
        <v>859</v>
      </c>
      <c r="D869" t="s">
        <v>873</v>
      </c>
      <c r="E869" t="s">
        <v>874</v>
      </c>
      <c r="F869" t="s">
        <v>18</v>
      </c>
      <c r="G869" t="s">
        <v>26</v>
      </c>
      <c r="H869">
        <v>0</v>
      </c>
      <c r="I869">
        <v>20</v>
      </c>
      <c r="J869">
        <v>22010</v>
      </c>
      <c r="K869">
        <v>440200</v>
      </c>
      <c r="L869">
        <v>0</v>
      </c>
      <c r="M869">
        <v>440200</v>
      </c>
      <c r="N869" t="s">
        <v>871</v>
      </c>
      <c r="O869" t="s">
        <v>680</v>
      </c>
    </row>
    <row r="870" spans="1:15" x14ac:dyDescent="0.3">
      <c r="A870" t="str">
        <f t="shared" si="13"/>
        <v>WDWP000258-R000-NBK</v>
      </c>
      <c r="B870" t="s">
        <v>14</v>
      </c>
      <c r="C870" t="s">
        <v>859</v>
      </c>
      <c r="D870" t="s">
        <v>873</v>
      </c>
      <c r="E870" t="s">
        <v>874</v>
      </c>
      <c r="F870" t="s">
        <v>18</v>
      </c>
      <c r="G870" t="s">
        <v>35</v>
      </c>
      <c r="H870">
        <v>0</v>
      </c>
      <c r="I870">
        <v>4</v>
      </c>
      <c r="J870">
        <v>22430</v>
      </c>
      <c r="K870">
        <v>89720</v>
      </c>
      <c r="L870">
        <v>0</v>
      </c>
      <c r="M870">
        <v>89720</v>
      </c>
      <c r="N870" t="s">
        <v>871</v>
      </c>
      <c r="O870" t="s">
        <v>680</v>
      </c>
    </row>
    <row r="871" spans="1:15" x14ac:dyDescent="0.3">
      <c r="A871" t="str">
        <f t="shared" si="13"/>
        <v>WDWP000258-R000-NCC</v>
      </c>
      <c r="B871" t="s">
        <v>14</v>
      </c>
      <c r="C871" t="s">
        <v>859</v>
      </c>
      <c r="D871" t="s">
        <v>220</v>
      </c>
      <c r="E871" t="s">
        <v>875</v>
      </c>
      <c r="F871" t="s">
        <v>18</v>
      </c>
      <c r="G871" t="s">
        <v>174</v>
      </c>
      <c r="H871">
        <v>0</v>
      </c>
      <c r="I871">
        <v>-32</v>
      </c>
      <c r="J871">
        <v>20770</v>
      </c>
      <c r="K871">
        <v>-664640</v>
      </c>
      <c r="L871">
        <v>0</v>
      </c>
      <c r="M871">
        <v>-664640</v>
      </c>
      <c r="N871" t="s">
        <v>727</v>
      </c>
      <c r="O871" t="s">
        <v>680</v>
      </c>
    </row>
    <row r="872" spans="1:15" x14ac:dyDescent="0.3">
      <c r="A872" t="str">
        <f t="shared" si="13"/>
        <v>WDWP000258-R000-NCC</v>
      </c>
      <c r="B872" t="s">
        <v>14</v>
      </c>
      <c r="C872" t="s">
        <v>859</v>
      </c>
      <c r="D872" t="s">
        <v>220</v>
      </c>
      <c r="E872" t="s">
        <v>875</v>
      </c>
      <c r="F872" t="s">
        <v>18</v>
      </c>
      <c r="G872" t="s">
        <v>210</v>
      </c>
      <c r="H872">
        <v>0</v>
      </c>
      <c r="I872">
        <v>180</v>
      </c>
      <c r="J872">
        <v>19960</v>
      </c>
      <c r="K872">
        <v>3592800</v>
      </c>
      <c r="L872">
        <v>0</v>
      </c>
      <c r="M872">
        <v>3592800</v>
      </c>
      <c r="N872" t="s">
        <v>727</v>
      </c>
      <c r="O872" t="s">
        <v>680</v>
      </c>
    </row>
    <row r="873" spans="1:15" x14ac:dyDescent="0.3">
      <c r="A873" t="str">
        <f t="shared" si="13"/>
        <v>WDWP000258-R000-NCC</v>
      </c>
      <c r="B873" t="s">
        <v>14</v>
      </c>
      <c r="C873" t="s">
        <v>859</v>
      </c>
      <c r="D873" t="s">
        <v>220</v>
      </c>
      <c r="E873" t="s">
        <v>875</v>
      </c>
      <c r="F873" t="s">
        <v>18</v>
      </c>
      <c r="G873" t="s">
        <v>83</v>
      </c>
      <c r="H873">
        <v>0</v>
      </c>
      <c r="I873">
        <v>50</v>
      </c>
      <c r="J873">
        <v>19960</v>
      </c>
      <c r="K873">
        <v>998000</v>
      </c>
      <c r="L873">
        <v>0</v>
      </c>
      <c r="M873">
        <v>998000</v>
      </c>
      <c r="N873" t="s">
        <v>727</v>
      </c>
      <c r="O873" t="s">
        <v>680</v>
      </c>
    </row>
    <row r="874" spans="1:15" x14ac:dyDescent="0.3">
      <c r="A874" t="str">
        <f t="shared" si="13"/>
        <v>WDWP000258-R000-NCC</v>
      </c>
      <c r="B874" t="s">
        <v>14</v>
      </c>
      <c r="C874" t="s">
        <v>859</v>
      </c>
      <c r="D874" t="s">
        <v>220</v>
      </c>
      <c r="E874" t="s">
        <v>875</v>
      </c>
      <c r="F874" t="s">
        <v>18</v>
      </c>
      <c r="G874" t="s">
        <v>63</v>
      </c>
      <c r="H874">
        <v>0</v>
      </c>
      <c r="I874">
        <v>30</v>
      </c>
      <c r="J874">
        <v>19960</v>
      </c>
      <c r="K874">
        <v>598800</v>
      </c>
      <c r="L874">
        <v>0</v>
      </c>
      <c r="M874">
        <v>598800</v>
      </c>
      <c r="N874" t="s">
        <v>727</v>
      </c>
      <c r="O874" t="s">
        <v>680</v>
      </c>
    </row>
    <row r="875" spans="1:15" x14ac:dyDescent="0.3">
      <c r="A875" t="str">
        <f t="shared" si="13"/>
        <v>WDWP000258-R000-NCC</v>
      </c>
      <c r="B875" t="s">
        <v>14</v>
      </c>
      <c r="C875" t="s">
        <v>859</v>
      </c>
      <c r="D875" t="s">
        <v>220</v>
      </c>
      <c r="E875" t="s">
        <v>875</v>
      </c>
      <c r="F875" t="s">
        <v>18</v>
      </c>
      <c r="G875" t="s">
        <v>111</v>
      </c>
      <c r="H875">
        <v>0</v>
      </c>
      <c r="I875">
        <v>40</v>
      </c>
      <c r="J875">
        <v>19960</v>
      </c>
      <c r="K875">
        <v>798400</v>
      </c>
      <c r="L875">
        <v>0</v>
      </c>
      <c r="M875">
        <v>798400</v>
      </c>
      <c r="N875" t="s">
        <v>727</v>
      </c>
      <c r="O875" t="s">
        <v>680</v>
      </c>
    </row>
    <row r="876" spans="1:15" x14ac:dyDescent="0.3">
      <c r="A876" t="str">
        <f t="shared" si="13"/>
        <v>WDWP000258-R000-NCGYM</v>
      </c>
      <c r="B876" t="s">
        <v>14</v>
      </c>
      <c r="C876" t="s">
        <v>859</v>
      </c>
      <c r="D876" t="s">
        <v>876</v>
      </c>
      <c r="E876" t="s">
        <v>877</v>
      </c>
      <c r="F876" t="s">
        <v>18</v>
      </c>
      <c r="G876" t="s">
        <v>83</v>
      </c>
      <c r="H876">
        <v>0</v>
      </c>
      <c r="I876">
        <v>51</v>
      </c>
      <c r="J876">
        <v>19330</v>
      </c>
      <c r="K876">
        <v>985830</v>
      </c>
      <c r="L876">
        <v>0</v>
      </c>
      <c r="M876">
        <v>985830</v>
      </c>
      <c r="N876" t="s">
        <v>878</v>
      </c>
      <c r="O876" t="s">
        <v>680</v>
      </c>
    </row>
    <row r="877" spans="1:15" x14ac:dyDescent="0.3">
      <c r="A877" t="str">
        <f t="shared" si="13"/>
        <v>WDWP000258-R000-NK</v>
      </c>
      <c r="B877" t="s">
        <v>14</v>
      </c>
      <c r="C877" t="s">
        <v>859</v>
      </c>
      <c r="D877" t="s">
        <v>879</v>
      </c>
      <c r="E877" t="s">
        <v>880</v>
      </c>
      <c r="F877" t="s">
        <v>18</v>
      </c>
      <c r="G877" t="s">
        <v>49</v>
      </c>
      <c r="H877">
        <v>0</v>
      </c>
      <c r="I877">
        <v>25</v>
      </c>
      <c r="J877">
        <v>20350</v>
      </c>
      <c r="K877">
        <v>508750</v>
      </c>
      <c r="L877">
        <v>0</v>
      </c>
      <c r="M877">
        <v>508750</v>
      </c>
      <c r="N877" t="s">
        <v>881</v>
      </c>
      <c r="O877" t="s">
        <v>680</v>
      </c>
    </row>
    <row r="878" spans="1:15" x14ac:dyDescent="0.3">
      <c r="A878" t="str">
        <f t="shared" si="13"/>
        <v>WDWP000258-R000-NK</v>
      </c>
      <c r="B878" t="s">
        <v>14</v>
      </c>
      <c r="C878" t="s">
        <v>859</v>
      </c>
      <c r="D878" t="s">
        <v>879</v>
      </c>
      <c r="E878" t="s">
        <v>880</v>
      </c>
      <c r="F878" t="s">
        <v>18</v>
      </c>
      <c r="G878" t="s">
        <v>210</v>
      </c>
      <c r="H878">
        <v>0</v>
      </c>
      <c r="I878">
        <v>101</v>
      </c>
      <c r="J878">
        <v>20350</v>
      </c>
      <c r="K878">
        <v>2055350</v>
      </c>
      <c r="L878">
        <v>0</v>
      </c>
      <c r="M878">
        <v>2055350</v>
      </c>
      <c r="N878" t="s">
        <v>881</v>
      </c>
      <c r="O878" t="s">
        <v>680</v>
      </c>
    </row>
    <row r="879" spans="1:15" x14ac:dyDescent="0.3">
      <c r="A879" t="str">
        <f t="shared" si="13"/>
        <v>WDWP000258-R000-NK</v>
      </c>
      <c r="B879" t="s">
        <v>14</v>
      </c>
      <c r="C879" t="s">
        <v>859</v>
      </c>
      <c r="D879" t="s">
        <v>879</v>
      </c>
      <c r="E879" t="s">
        <v>880</v>
      </c>
      <c r="F879" t="s">
        <v>18</v>
      </c>
      <c r="G879" t="s">
        <v>35</v>
      </c>
      <c r="H879">
        <v>0</v>
      </c>
      <c r="I879">
        <v>9</v>
      </c>
      <c r="J879">
        <v>20770</v>
      </c>
      <c r="K879">
        <v>186930</v>
      </c>
      <c r="L879">
        <v>0</v>
      </c>
      <c r="M879">
        <v>186930</v>
      </c>
      <c r="N879" t="s">
        <v>881</v>
      </c>
      <c r="O879" t="s">
        <v>680</v>
      </c>
    </row>
    <row r="880" spans="1:15" x14ac:dyDescent="0.3">
      <c r="A880" t="str">
        <f t="shared" si="13"/>
        <v>WDWP000258-R000-NWW</v>
      </c>
      <c r="B880" t="s">
        <v>14</v>
      </c>
      <c r="C880" t="s">
        <v>859</v>
      </c>
      <c r="D880" t="s">
        <v>464</v>
      </c>
      <c r="E880" t="s">
        <v>882</v>
      </c>
      <c r="F880" t="s">
        <v>18</v>
      </c>
      <c r="G880" t="s">
        <v>49</v>
      </c>
      <c r="H880">
        <v>0</v>
      </c>
      <c r="I880">
        <v>4</v>
      </c>
      <c r="J880">
        <v>18640</v>
      </c>
      <c r="K880">
        <v>74560</v>
      </c>
      <c r="L880">
        <v>0</v>
      </c>
      <c r="M880">
        <v>74560</v>
      </c>
      <c r="N880" t="s">
        <v>871</v>
      </c>
      <c r="O880" t="s">
        <v>680</v>
      </c>
    </row>
    <row r="881" spans="1:15" x14ac:dyDescent="0.3">
      <c r="A881" t="str">
        <f t="shared" si="13"/>
        <v>WDWP000258-R000-OAT</v>
      </c>
      <c r="B881" t="s">
        <v>14</v>
      </c>
      <c r="C881" t="s">
        <v>859</v>
      </c>
      <c r="D881" t="s">
        <v>223</v>
      </c>
      <c r="E881" t="s">
        <v>883</v>
      </c>
      <c r="F881" t="s">
        <v>18</v>
      </c>
      <c r="G881" t="s">
        <v>19</v>
      </c>
      <c r="H881">
        <v>0</v>
      </c>
      <c r="I881">
        <v>900</v>
      </c>
      <c r="J881">
        <v>19790</v>
      </c>
      <c r="K881">
        <v>17811000</v>
      </c>
      <c r="L881">
        <v>0</v>
      </c>
      <c r="M881">
        <v>17811000</v>
      </c>
      <c r="N881" t="s">
        <v>884</v>
      </c>
      <c r="O881" t="s">
        <v>680</v>
      </c>
    </row>
    <row r="882" spans="1:15" x14ac:dyDescent="0.3">
      <c r="A882" t="str">
        <f t="shared" si="13"/>
        <v>WDWP000258-R000-OAT</v>
      </c>
      <c r="B882" t="s">
        <v>14</v>
      </c>
      <c r="C882" t="s">
        <v>859</v>
      </c>
      <c r="D882" t="s">
        <v>223</v>
      </c>
      <c r="E882" t="s">
        <v>883</v>
      </c>
      <c r="F882" t="s">
        <v>18</v>
      </c>
      <c r="G882" t="s">
        <v>68</v>
      </c>
      <c r="H882">
        <v>0</v>
      </c>
      <c r="I882">
        <v>70</v>
      </c>
      <c r="J882">
        <v>19790</v>
      </c>
      <c r="K882">
        <v>1385300</v>
      </c>
      <c r="L882">
        <v>0</v>
      </c>
      <c r="M882">
        <v>1385300</v>
      </c>
      <c r="N882" t="s">
        <v>884</v>
      </c>
      <c r="O882" t="s">
        <v>680</v>
      </c>
    </row>
    <row r="883" spans="1:15" x14ac:dyDescent="0.3">
      <c r="A883" t="str">
        <f t="shared" si="13"/>
        <v>WDWP000258-R000-OAT</v>
      </c>
      <c r="B883" t="s">
        <v>14</v>
      </c>
      <c r="C883" t="s">
        <v>859</v>
      </c>
      <c r="D883" t="s">
        <v>223</v>
      </c>
      <c r="E883" t="s">
        <v>883</v>
      </c>
      <c r="F883" t="s">
        <v>18</v>
      </c>
      <c r="G883" t="s">
        <v>246</v>
      </c>
      <c r="H883">
        <v>0</v>
      </c>
      <c r="I883">
        <v>60</v>
      </c>
      <c r="J883">
        <v>19790</v>
      </c>
      <c r="K883">
        <v>1187400</v>
      </c>
      <c r="L883">
        <v>0</v>
      </c>
      <c r="M883">
        <v>1187400</v>
      </c>
      <c r="N883" t="s">
        <v>884</v>
      </c>
      <c r="O883" t="s">
        <v>680</v>
      </c>
    </row>
    <row r="884" spans="1:15" x14ac:dyDescent="0.3">
      <c r="A884" t="str">
        <f t="shared" si="13"/>
        <v>WDWP000258-R000-OAT</v>
      </c>
      <c r="B884" t="s">
        <v>14</v>
      </c>
      <c r="C884" t="s">
        <v>859</v>
      </c>
      <c r="D884" t="s">
        <v>223</v>
      </c>
      <c r="E884" t="s">
        <v>883</v>
      </c>
      <c r="F884" t="s">
        <v>18</v>
      </c>
      <c r="G884" t="s">
        <v>174</v>
      </c>
      <c r="H884">
        <v>0</v>
      </c>
      <c r="I884">
        <v>160</v>
      </c>
      <c r="J884">
        <v>19790</v>
      </c>
      <c r="K884">
        <v>3166400</v>
      </c>
      <c r="L884">
        <v>0</v>
      </c>
      <c r="M884">
        <v>3166400</v>
      </c>
      <c r="N884" t="s">
        <v>884</v>
      </c>
      <c r="O884" t="s">
        <v>680</v>
      </c>
    </row>
    <row r="885" spans="1:15" x14ac:dyDescent="0.3">
      <c r="A885" t="str">
        <f t="shared" si="13"/>
        <v>WDWP000258-R000-OAT</v>
      </c>
      <c r="B885" t="s">
        <v>14</v>
      </c>
      <c r="C885" t="s">
        <v>859</v>
      </c>
      <c r="D885" t="s">
        <v>223</v>
      </c>
      <c r="E885" t="s">
        <v>883</v>
      </c>
      <c r="F885" t="s">
        <v>18</v>
      </c>
      <c r="G885" t="s">
        <v>49</v>
      </c>
      <c r="H885">
        <v>0</v>
      </c>
      <c r="I885">
        <v>20</v>
      </c>
      <c r="J885">
        <v>19790</v>
      </c>
      <c r="K885">
        <v>395800</v>
      </c>
      <c r="L885">
        <v>0</v>
      </c>
      <c r="M885">
        <v>395800</v>
      </c>
      <c r="N885" t="s">
        <v>884</v>
      </c>
      <c r="O885" t="s">
        <v>680</v>
      </c>
    </row>
    <row r="886" spans="1:15" x14ac:dyDescent="0.3">
      <c r="A886" t="str">
        <f t="shared" si="13"/>
        <v>WDWP000258-R000-OCY</v>
      </c>
      <c r="B886" t="s">
        <v>14</v>
      </c>
      <c r="C886" t="s">
        <v>859</v>
      </c>
      <c r="D886" t="s">
        <v>250</v>
      </c>
      <c r="E886" t="s">
        <v>885</v>
      </c>
      <c r="F886" t="s">
        <v>18</v>
      </c>
      <c r="G886" t="s">
        <v>49</v>
      </c>
      <c r="H886">
        <v>0</v>
      </c>
      <c r="I886">
        <v>10</v>
      </c>
      <c r="J886">
        <v>21380</v>
      </c>
      <c r="K886">
        <v>213800</v>
      </c>
      <c r="L886">
        <v>0</v>
      </c>
      <c r="M886">
        <v>213800</v>
      </c>
      <c r="N886" t="s">
        <v>863</v>
      </c>
      <c r="O886" t="s">
        <v>680</v>
      </c>
    </row>
    <row r="887" spans="1:15" x14ac:dyDescent="0.3">
      <c r="A887" t="str">
        <f t="shared" si="13"/>
        <v>WDWP000258-R000-OS</v>
      </c>
      <c r="B887" t="s">
        <v>14</v>
      </c>
      <c r="C887" t="s">
        <v>859</v>
      </c>
      <c r="D887" t="s">
        <v>264</v>
      </c>
      <c r="E887" t="s">
        <v>886</v>
      </c>
      <c r="F887" t="s">
        <v>18</v>
      </c>
      <c r="G887" t="s">
        <v>83</v>
      </c>
      <c r="H887">
        <v>0</v>
      </c>
      <c r="I887">
        <v>60</v>
      </c>
      <c r="J887">
        <v>19960</v>
      </c>
      <c r="K887">
        <v>1197600</v>
      </c>
      <c r="L887">
        <v>0</v>
      </c>
      <c r="M887">
        <v>1197600</v>
      </c>
      <c r="N887" t="s">
        <v>727</v>
      </c>
      <c r="O887" t="s">
        <v>680</v>
      </c>
    </row>
    <row r="888" spans="1:15" x14ac:dyDescent="0.3">
      <c r="A888" t="str">
        <f t="shared" si="13"/>
        <v>WDWP000258-R000-OS</v>
      </c>
      <c r="B888" t="s">
        <v>14</v>
      </c>
      <c r="C888" t="s">
        <v>859</v>
      </c>
      <c r="D888" t="s">
        <v>264</v>
      </c>
      <c r="E888" t="s">
        <v>886</v>
      </c>
      <c r="F888" t="s">
        <v>18</v>
      </c>
      <c r="G888" t="s">
        <v>35</v>
      </c>
      <c r="H888">
        <v>0</v>
      </c>
      <c r="I888">
        <v>360</v>
      </c>
      <c r="J888">
        <v>19960</v>
      </c>
      <c r="K888">
        <v>7185600</v>
      </c>
      <c r="L888">
        <v>0</v>
      </c>
      <c r="M888">
        <v>7185600</v>
      </c>
      <c r="N888" t="s">
        <v>727</v>
      </c>
      <c r="O888" t="s">
        <v>680</v>
      </c>
    </row>
    <row r="889" spans="1:15" x14ac:dyDescent="0.3">
      <c r="A889" t="str">
        <f t="shared" si="13"/>
        <v>WDWP000258-R000-OS</v>
      </c>
      <c r="B889" t="s">
        <v>14</v>
      </c>
      <c r="C889" t="s">
        <v>859</v>
      </c>
      <c r="D889" t="s">
        <v>264</v>
      </c>
      <c r="E889" t="s">
        <v>886</v>
      </c>
      <c r="F889" t="s">
        <v>18</v>
      </c>
      <c r="G889" t="s">
        <v>68</v>
      </c>
      <c r="H889">
        <v>0</v>
      </c>
      <c r="I889">
        <v>31</v>
      </c>
      <c r="J889">
        <v>19960</v>
      </c>
      <c r="K889">
        <v>618760</v>
      </c>
      <c r="L889">
        <v>0</v>
      </c>
      <c r="M889">
        <v>618760</v>
      </c>
      <c r="N889" t="s">
        <v>727</v>
      </c>
      <c r="O889" t="s">
        <v>680</v>
      </c>
    </row>
    <row r="890" spans="1:15" x14ac:dyDescent="0.3">
      <c r="A890" t="str">
        <f t="shared" si="13"/>
        <v>WDWP000258-R000-OS</v>
      </c>
      <c r="B890" t="s">
        <v>14</v>
      </c>
      <c r="C890" t="s">
        <v>859</v>
      </c>
      <c r="D890" t="s">
        <v>264</v>
      </c>
      <c r="E890" t="s">
        <v>886</v>
      </c>
      <c r="F890" t="s">
        <v>18</v>
      </c>
      <c r="G890" t="s">
        <v>111</v>
      </c>
      <c r="H890">
        <v>0</v>
      </c>
      <c r="I890">
        <v>46</v>
      </c>
      <c r="J890">
        <v>19960</v>
      </c>
      <c r="K890">
        <v>918160</v>
      </c>
      <c r="L890">
        <v>0</v>
      </c>
      <c r="M890">
        <v>918160</v>
      </c>
      <c r="N890" t="s">
        <v>727</v>
      </c>
      <c r="O890" t="s">
        <v>680</v>
      </c>
    </row>
    <row r="891" spans="1:15" x14ac:dyDescent="0.3">
      <c r="A891" t="str">
        <f t="shared" si="13"/>
        <v>WDWP000258-R000-OS</v>
      </c>
      <c r="B891" t="s">
        <v>14</v>
      </c>
      <c r="C891" t="s">
        <v>859</v>
      </c>
      <c r="D891" t="s">
        <v>264</v>
      </c>
      <c r="E891" t="s">
        <v>886</v>
      </c>
      <c r="F891" t="s">
        <v>18</v>
      </c>
      <c r="G891" t="s">
        <v>49</v>
      </c>
      <c r="H891">
        <v>0</v>
      </c>
      <c r="I891">
        <v>40</v>
      </c>
      <c r="J891">
        <v>19960</v>
      </c>
      <c r="K891">
        <v>798400</v>
      </c>
      <c r="L891">
        <v>0</v>
      </c>
      <c r="M891">
        <v>798400</v>
      </c>
      <c r="N891" t="s">
        <v>727</v>
      </c>
      <c r="O891" t="s">
        <v>680</v>
      </c>
    </row>
    <row r="892" spans="1:15" x14ac:dyDescent="0.3">
      <c r="A892" t="str">
        <f t="shared" si="13"/>
        <v>WDWP000258-R000-RCN</v>
      </c>
      <c r="B892" t="s">
        <v>14</v>
      </c>
      <c r="C892" t="s">
        <v>859</v>
      </c>
      <c r="D892" t="s">
        <v>253</v>
      </c>
      <c r="E892" t="s">
        <v>771</v>
      </c>
      <c r="F892" t="s">
        <v>18</v>
      </c>
      <c r="G892" t="s">
        <v>26</v>
      </c>
      <c r="H892">
        <v>0</v>
      </c>
      <c r="I892">
        <v>10</v>
      </c>
      <c r="J892">
        <v>21140</v>
      </c>
      <c r="K892">
        <v>211400</v>
      </c>
      <c r="L892">
        <v>0</v>
      </c>
      <c r="M892">
        <v>211400</v>
      </c>
      <c r="N892" t="s">
        <v>863</v>
      </c>
      <c r="O892" t="s">
        <v>680</v>
      </c>
    </row>
    <row r="893" spans="1:15" x14ac:dyDescent="0.3">
      <c r="A893" t="str">
        <f t="shared" si="13"/>
        <v>WDWP000258-R000-SO</v>
      </c>
      <c r="B893" t="s">
        <v>14</v>
      </c>
      <c r="C893" t="s">
        <v>859</v>
      </c>
      <c r="D893" t="s">
        <v>301</v>
      </c>
      <c r="E893" t="s">
        <v>887</v>
      </c>
      <c r="F893" t="s">
        <v>18</v>
      </c>
      <c r="G893" t="s">
        <v>35</v>
      </c>
      <c r="H893">
        <v>0</v>
      </c>
      <c r="I893">
        <v>880</v>
      </c>
      <c r="J893">
        <v>20350</v>
      </c>
      <c r="K893">
        <v>17908000</v>
      </c>
      <c r="L893">
        <v>0</v>
      </c>
      <c r="M893">
        <v>17908000</v>
      </c>
      <c r="N893" t="s">
        <v>863</v>
      </c>
      <c r="O893" t="s">
        <v>680</v>
      </c>
    </row>
    <row r="894" spans="1:15" x14ac:dyDescent="0.3">
      <c r="A894" t="str">
        <f t="shared" si="13"/>
        <v>WDWP000258-R000-SO</v>
      </c>
      <c r="B894" t="s">
        <v>14</v>
      </c>
      <c r="C894" t="s">
        <v>859</v>
      </c>
      <c r="D894" t="s">
        <v>301</v>
      </c>
      <c r="E894" t="s">
        <v>887</v>
      </c>
      <c r="F894" t="s">
        <v>18</v>
      </c>
      <c r="G894" t="s">
        <v>19</v>
      </c>
      <c r="H894">
        <v>0</v>
      </c>
      <c r="I894">
        <v>61</v>
      </c>
      <c r="J894">
        <v>20350</v>
      </c>
      <c r="K894">
        <v>1241350</v>
      </c>
      <c r="L894">
        <v>0</v>
      </c>
      <c r="M894">
        <v>1241350</v>
      </c>
      <c r="N894" t="s">
        <v>863</v>
      </c>
      <c r="O894" t="s">
        <v>680</v>
      </c>
    </row>
    <row r="895" spans="1:15" x14ac:dyDescent="0.3">
      <c r="A895" t="str">
        <f t="shared" si="13"/>
        <v>WDWP000258-R000-SO</v>
      </c>
      <c r="B895" t="s">
        <v>14</v>
      </c>
      <c r="C895" t="s">
        <v>859</v>
      </c>
      <c r="D895" t="s">
        <v>301</v>
      </c>
      <c r="E895" t="s">
        <v>887</v>
      </c>
      <c r="F895" t="s">
        <v>18</v>
      </c>
      <c r="G895" t="s">
        <v>111</v>
      </c>
      <c r="H895">
        <v>0</v>
      </c>
      <c r="I895">
        <v>170</v>
      </c>
      <c r="J895">
        <v>20350</v>
      </c>
      <c r="K895">
        <v>3459500</v>
      </c>
      <c r="L895">
        <v>0</v>
      </c>
      <c r="M895">
        <v>3459500</v>
      </c>
      <c r="N895" t="s">
        <v>863</v>
      </c>
      <c r="O895" t="s">
        <v>680</v>
      </c>
    </row>
    <row r="896" spans="1:15" x14ac:dyDescent="0.3">
      <c r="A896" t="str">
        <f t="shared" si="13"/>
        <v>WDWP000258-R000-SP</v>
      </c>
      <c r="B896" t="s">
        <v>14</v>
      </c>
      <c r="C896" t="s">
        <v>859</v>
      </c>
      <c r="D896" t="s">
        <v>201</v>
      </c>
      <c r="E896" t="s">
        <v>888</v>
      </c>
      <c r="F896" t="s">
        <v>18</v>
      </c>
      <c r="G896" t="s">
        <v>68</v>
      </c>
      <c r="H896">
        <v>0</v>
      </c>
      <c r="I896">
        <v>180</v>
      </c>
      <c r="J896">
        <v>20550</v>
      </c>
      <c r="K896">
        <v>3699000</v>
      </c>
      <c r="L896">
        <v>0</v>
      </c>
      <c r="M896">
        <v>3699000</v>
      </c>
      <c r="N896" t="s">
        <v>863</v>
      </c>
      <c r="O896" t="s">
        <v>680</v>
      </c>
    </row>
    <row r="897" spans="1:15" x14ac:dyDescent="0.3">
      <c r="A897" t="str">
        <f t="shared" si="13"/>
        <v>WDWP000258-R000-SP</v>
      </c>
      <c r="B897" t="s">
        <v>14</v>
      </c>
      <c r="C897" t="s">
        <v>859</v>
      </c>
      <c r="D897" t="s">
        <v>201</v>
      </c>
      <c r="E897" t="s">
        <v>888</v>
      </c>
      <c r="F897" t="s">
        <v>18</v>
      </c>
      <c r="G897" t="s">
        <v>174</v>
      </c>
      <c r="H897">
        <v>0</v>
      </c>
      <c r="I897">
        <v>140</v>
      </c>
      <c r="J897">
        <v>20550</v>
      </c>
      <c r="K897">
        <v>2877000</v>
      </c>
      <c r="L897">
        <v>0</v>
      </c>
      <c r="M897">
        <v>2877000</v>
      </c>
      <c r="N897" t="s">
        <v>863</v>
      </c>
      <c r="O897" t="s">
        <v>680</v>
      </c>
    </row>
    <row r="898" spans="1:15" x14ac:dyDescent="0.3">
      <c r="A898" t="str">
        <f t="shared" si="13"/>
        <v>WDWP000258-R000-SP</v>
      </c>
      <c r="B898" t="s">
        <v>14</v>
      </c>
      <c r="C898" t="s">
        <v>859</v>
      </c>
      <c r="D898" t="s">
        <v>201</v>
      </c>
      <c r="E898" t="s">
        <v>888</v>
      </c>
      <c r="F898" t="s">
        <v>18</v>
      </c>
      <c r="G898" t="s">
        <v>49</v>
      </c>
      <c r="H898">
        <v>0</v>
      </c>
      <c r="I898">
        <v>204</v>
      </c>
      <c r="J898">
        <v>20550</v>
      </c>
      <c r="K898">
        <v>4192200</v>
      </c>
      <c r="L898">
        <v>0</v>
      </c>
      <c r="M898">
        <v>4192200</v>
      </c>
      <c r="N898" t="s">
        <v>863</v>
      </c>
      <c r="O898" t="s">
        <v>680</v>
      </c>
    </row>
    <row r="899" spans="1:15" x14ac:dyDescent="0.3">
      <c r="A899" t="str">
        <f t="shared" ref="A899:A962" si="14">C899&amp;"-"&amp;D899</f>
        <v>WDWP000258-R000-SP</v>
      </c>
      <c r="B899" t="s">
        <v>14</v>
      </c>
      <c r="C899" t="s">
        <v>859</v>
      </c>
      <c r="D899" t="s">
        <v>201</v>
      </c>
      <c r="E899" t="s">
        <v>888</v>
      </c>
      <c r="F899" t="s">
        <v>18</v>
      </c>
      <c r="G899" t="s">
        <v>210</v>
      </c>
      <c r="H899">
        <v>0</v>
      </c>
      <c r="I899">
        <v>240</v>
      </c>
      <c r="J899">
        <v>20550</v>
      </c>
      <c r="K899">
        <v>4932000</v>
      </c>
      <c r="L899">
        <v>0</v>
      </c>
      <c r="M899">
        <v>4932000</v>
      </c>
      <c r="N899" t="s">
        <v>863</v>
      </c>
      <c r="O899" t="s">
        <v>680</v>
      </c>
    </row>
    <row r="900" spans="1:15" x14ac:dyDescent="0.3">
      <c r="A900" t="str">
        <f t="shared" si="14"/>
        <v>WDWP000258-R000-SP</v>
      </c>
      <c r="B900" t="s">
        <v>14</v>
      </c>
      <c r="C900" t="s">
        <v>859</v>
      </c>
      <c r="D900" t="s">
        <v>201</v>
      </c>
      <c r="E900" t="s">
        <v>888</v>
      </c>
      <c r="F900" t="s">
        <v>18</v>
      </c>
      <c r="G900" t="s">
        <v>35</v>
      </c>
      <c r="H900">
        <v>0</v>
      </c>
      <c r="I900">
        <v>540</v>
      </c>
      <c r="J900">
        <v>20550</v>
      </c>
      <c r="K900">
        <v>11097000</v>
      </c>
      <c r="L900">
        <v>0</v>
      </c>
      <c r="M900">
        <v>11097000</v>
      </c>
      <c r="N900" t="s">
        <v>863</v>
      </c>
      <c r="O900" t="s">
        <v>680</v>
      </c>
    </row>
    <row r="901" spans="1:15" x14ac:dyDescent="0.3">
      <c r="A901" t="str">
        <f t="shared" si="14"/>
        <v>WDWP000258-R000-SP</v>
      </c>
      <c r="B901" t="s">
        <v>14</v>
      </c>
      <c r="C901" t="s">
        <v>859</v>
      </c>
      <c r="D901" t="s">
        <v>201</v>
      </c>
      <c r="E901" t="s">
        <v>888</v>
      </c>
      <c r="F901" t="s">
        <v>18</v>
      </c>
      <c r="G901" t="s">
        <v>83</v>
      </c>
      <c r="H901">
        <v>0</v>
      </c>
      <c r="I901">
        <v>240</v>
      </c>
      <c r="J901">
        <v>20550</v>
      </c>
      <c r="K901">
        <v>4932000</v>
      </c>
      <c r="L901">
        <v>0</v>
      </c>
      <c r="M901">
        <v>4932000</v>
      </c>
      <c r="N901" t="s">
        <v>863</v>
      </c>
      <c r="O901" t="s">
        <v>680</v>
      </c>
    </row>
    <row r="902" spans="1:15" x14ac:dyDescent="0.3">
      <c r="A902" t="str">
        <f t="shared" si="14"/>
        <v>WDWP000258-R000-SP</v>
      </c>
      <c r="B902" t="s">
        <v>14</v>
      </c>
      <c r="C902" t="s">
        <v>859</v>
      </c>
      <c r="D902" t="s">
        <v>201</v>
      </c>
      <c r="E902" t="s">
        <v>888</v>
      </c>
      <c r="F902" t="s">
        <v>18</v>
      </c>
      <c r="G902" t="s">
        <v>246</v>
      </c>
      <c r="H902">
        <v>0</v>
      </c>
      <c r="I902">
        <v>60</v>
      </c>
      <c r="J902">
        <v>20550</v>
      </c>
      <c r="K902">
        <v>1233000</v>
      </c>
      <c r="L902">
        <v>0</v>
      </c>
      <c r="M902">
        <v>1233000</v>
      </c>
      <c r="N902" t="s">
        <v>863</v>
      </c>
      <c r="O902" t="s">
        <v>680</v>
      </c>
    </row>
    <row r="903" spans="1:15" x14ac:dyDescent="0.3">
      <c r="A903" t="str">
        <f t="shared" si="14"/>
        <v>WDWP000258-R000-SP</v>
      </c>
      <c r="B903" t="s">
        <v>14</v>
      </c>
      <c r="C903" t="s">
        <v>859</v>
      </c>
      <c r="D903" t="s">
        <v>201</v>
      </c>
      <c r="E903" t="s">
        <v>888</v>
      </c>
      <c r="F903" t="s">
        <v>18</v>
      </c>
      <c r="G903" t="s">
        <v>111</v>
      </c>
      <c r="H903">
        <v>0</v>
      </c>
      <c r="I903">
        <v>1190</v>
      </c>
      <c r="J903">
        <v>20550</v>
      </c>
      <c r="K903">
        <v>24454500</v>
      </c>
      <c r="L903">
        <v>0</v>
      </c>
      <c r="M903">
        <v>24454500</v>
      </c>
      <c r="N903" t="s">
        <v>863</v>
      </c>
      <c r="O903" t="s">
        <v>680</v>
      </c>
    </row>
    <row r="904" spans="1:15" x14ac:dyDescent="0.3">
      <c r="A904" t="str">
        <f t="shared" si="14"/>
        <v>WDWP000258-R000-SP</v>
      </c>
      <c r="B904" t="s">
        <v>14</v>
      </c>
      <c r="C904" t="s">
        <v>859</v>
      </c>
      <c r="D904" t="s">
        <v>201</v>
      </c>
      <c r="E904" t="s">
        <v>888</v>
      </c>
      <c r="F904" t="s">
        <v>18</v>
      </c>
      <c r="G904" t="s">
        <v>239</v>
      </c>
      <c r="H904">
        <v>0</v>
      </c>
      <c r="I904">
        <v>100</v>
      </c>
      <c r="J904">
        <v>20980</v>
      </c>
      <c r="K904">
        <v>2098000</v>
      </c>
      <c r="L904">
        <v>0</v>
      </c>
      <c r="M904">
        <v>2098000</v>
      </c>
      <c r="N904" t="s">
        <v>863</v>
      </c>
      <c r="O904" t="s">
        <v>680</v>
      </c>
    </row>
    <row r="905" spans="1:15" x14ac:dyDescent="0.3">
      <c r="A905" t="str">
        <f t="shared" si="14"/>
        <v>WDWP000258-R000-SP</v>
      </c>
      <c r="B905" t="s">
        <v>14</v>
      </c>
      <c r="C905" t="s">
        <v>859</v>
      </c>
      <c r="D905" t="s">
        <v>201</v>
      </c>
      <c r="E905" t="s">
        <v>888</v>
      </c>
      <c r="F905" t="s">
        <v>18</v>
      </c>
      <c r="G905" t="s">
        <v>19</v>
      </c>
      <c r="H905">
        <v>0</v>
      </c>
      <c r="I905">
        <v>2819</v>
      </c>
      <c r="J905">
        <v>20550</v>
      </c>
      <c r="K905">
        <v>57930450</v>
      </c>
      <c r="L905">
        <v>0</v>
      </c>
      <c r="M905">
        <v>57930450</v>
      </c>
      <c r="N905" t="s">
        <v>863</v>
      </c>
      <c r="O905" t="s">
        <v>680</v>
      </c>
    </row>
    <row r="906" spans="1:15" x14ac:dyDescent="0.3">
      <c r="A906" t="str">
        <f t="shared" si="14"/>
        <v>WDWP000258-R000-TL</v>
      </c>
      <c r="B906" t="s">
        <v>14</v>
      </c>
      <c r="C906" t="s">
        <v>859</v>
      </c>
      <c r="D906" t="s">
        <v>696</v>
      </c>
      <c r="E906" t="s">
        <v>1900</v>
      </c>
      <c r="F906" t="s">
        <v>18</v>
      </c>
      <c r="G906" t="s">
        <v>35</v>
      </c>
      <c r="H906">
        <v>0</v>
      </c>
      <c r="I906">
        <v>3</v>
      </c>
      <c r="J906">
        <v>21860</v>
      </c>
      <c r="K906">
        <v>65580</v>
      </c>
      <c r="L906">
        <v>0</v>
      </c>
      <c r="M906">
        <v>65580</v>
      </c>
      <c r="N906" t="s">
        <v>727</v>
      </c>
      <c r="O906" t="s">
        <v>680</v>
      </c>
    </row>
    <row r="907" spans="1:15" x14ac:dyDescent="0.3">
      <c r="A907" t="str">
        <f t="shared" si="14"/>
        <v>WDWP000258-R000-UM</v>
      </c>
      <c r="B907" t="s">
        <v>14</v>
      </c>
      <c r="C907" t="s">
        <v>859</v>
      </c>
      <c r="D907" t="s">
        <v>278</v>
      </c>
      <c r="E907" t="s">
        <v>890</v>
      </c>
      <c r="F907" t="s">
        <v>18</v>
      </c>
      <c r="G907" t="s">
        <v>174</v>
      </c>
      <c r="H907">
        <v>0</v>
      </c>
      <c r="I907">
        <v>-42</v>
      </c>
      <c r="J907">
        <v>22130</v>
      </c>
      <c r="K907">
        <v>-929460</v>
      </c>
      <c r="L907">
        <v>0</v>
      </c>
      <c r="M907">
        <v>-929460</v>
      </c>
      <c r="N907" t="s">
        <v>891</v>
      </c>
      <c r="O907" t="s">
        <v>680</v>
      </c>
    </row>
    <row r="908" spans="1:15" x14ac:dyDescent="0.3">
      <c r="A908" t="str">
        <f t="shared" si="14"/>
        <v>WDWP000258-R000-WP</v>
      </c>
      <c r="B908" t="s">
        <v>14</v>
      </c>
      <c r="C908" t="s">
        <v>859</v>
      </c>
      <c r="D908" t="s">
        <v>804</v>
      </c>
      <c r="E908" t="s">
        <v>892</v>
      </c>
      <c r="F908" t="s">
        <v>18</v>
      </c>
      <c r="G908" t="s">
        <v>49</v>
      </c>
      <c r="H908">
        <v>0</v>
      </c>
      <c r="I908">
        <v>25</v>
      </c>
      <c r="J908">
        <v>20890</v>
      </c>
      <c r="K908">
        <v>522250</v>
      </c>
      <c r="L908">
        <v>0</v>
      </c>
      <c r="M908">
        <v>522250</v>
      </c>
      <c r="N908" t="s">
        <v>727</v>
      </c>
      <c r="O908" t="s">
        <v>680</v>
      </c>
    </row>
    <row r="909" spans="1:15" x14ac:dyDescent="0.3">
      <c r="A909" t="str">
        <f t="shared" si="14"/>
        <v>WDWP000258-R000-WW</v>
      </c>
      <c r="B909" t="s">
        <v>14</v>
      </c>
      <c r="C909" t="s">
        <v>859</v>
      </c>
      <c r="D909" t="s">
        <v>28</v>
      </c>
      <c r="E909" t="s">
        <v>746</v>
      </c>
      <c r="F909" t="s">
        <v>18</v>
      </c>
      <c r="G909" t="s">
        <v>111</v>
      </c>
      <c r="H909">
        <v>0</v>
      </c>
      <c r="I909">
        <v>18</v>
      </c>
      <c r="J909">
        <v>19060</v>
      </c>
      <c r="K909">
        <v>343080</v>
      </c>
      <c r="L909">
        <v>0</v>
      </c>
      <c r="M909">
        <v>343080</v>
      </c>
      <c r="N909" t="s">
        <v>893</v>
      </c>
      <c r="O909" t="s">
        <v>680</v>
      </c>
    </row>
    <row r="910" spans="1:15" x14ac:dyDescent="0.3">
      <c r="A910" t="str">
        <f t="shared" si="14"/>
        <v>WDWP000258-R000-WW</v>
      </c>
      <c r="B910" t="s">
        <v>14</v>
      </c>
      <c r="C910" t="s">
        <v>859</v>
      </c>
      <c r="D910" t="s">
        <v>28</v>
      </c>
      <c r="E910" t="s">
        <v>746</v>
      </c>
      <c r="F910" t="s">
        <v>18</v>
      </c>
      <c r="G910" t="s">
        <v>68</v>
      </c>
      <c r="H910">
        <v>0</v>
      </c>
      <c r="I910">
        <v>374</v>
      </c>
      <c r="J910">
        <v>18640</v>
      </c>
      <c r="K910">
        <v>6971360</v>
      </c>
      <c r="L910">
        <v>0</v>
      </c>
      <c r="M910">
        <v>6971360</v>
      </c>
      <c r="N910" t="s">
        <v>893</v>
      </c>
      <c r="O910" t="s">
        <v>680</v>
      </c>
    </row>
    <row r="911" spans="1:15" x14ac:dyDescent="0.3">
      <c r="A911" t="str">
        <f t="shared" si="14"/>
        <v>WDWP000258-R000-WW</v>
      </c>
      <c r="B911" t="s">
        <v>14</v>
      </c>
      <c r="C911" t="s">
        <v>859</v>
      </c>
      <c r="D911" t="s">
        <v>28</v>
      </c>
      <c r="E911" t="s">
        <v>746</v>
      </c>
      <c r="F911" t="s">
        <v>18</v>
      </c>
      <c r="G911" t="s">
        <v>49</v>
      </c>
      <c r="H911">
        <v>0</v>
      </c>
      <c r="I911">
        <v>1410</v>
      </c>
      <c r="J911">
        <v>18640</v>
      </c>
      <c r="K911">
        <v>26282400</v>
      </c>
      <c r="L911">
        <v>0</v>
      </c>
      <c r="M911">
        <v>26282400</v>
      </c>
      <c r="N911" t="s">
        <v>893</v>
      </c>
      <c r="O911" t="s">
        <v>680</v>
      </c>
    </row>
    <row r="912" spans="1:15" x14ac:dyDescent="0.3">
      <c r="A912" t="str">
        <f t="shared" si="14"/>
        <v>WDWP000258-R000-WW</v>
      </c>
      <c r="B912" t="s">
        <v>14</v>
      </c>
      <c r="C912" t="s">
        <v>859</v>
      </c>
      <c r="D912" t="s">
        <v>28</v>
      </c>
      <c r="E912" t="s">
        <v>746</v>
      </c>
      <c r="F912" t="s">
        <v>18</v>
      </c>
      <c r="G912" t="s">
        <v>210</v>
      </c>
      <c r="H912">
        <v>0</v>
      </c>
      <c r="I912">
        <v>2120</v>
      </c>
      <c r="J912">
        <v>18640</v>
      </c>
      <c r="K912">
        <v>39516800</v>
      </c>
      <c r="L912">
        <v>0</v>
      </c>
      <c r="M912">
        <v>39516800</v>
      </c>
      <c r="N912" t="s">
        <v>893</v>
      </c>
      <c r="O912" t="s">
        <v>680</v>
      </c>
    </row>
    <row r="913" spans="1:15" x14ac:dyDescent="0.3">
      <c r="A913" t="str">
        <f t="shared" si="14"/>
        <v>WDWP000258-R000-WW</v>
      </c>
      <c r="B913" t="s">
        <v>14</v>
      </c>
      <c r="C913" t="s">
        <v>859</v>
      </c>
      <c r="D913" t="s">
        <v>28</v>
      </c>
      <c r="E913" t="s">
        <v>746</v>
      </c>
      <c r="F913" t="s">
        <v>18</v>
      </c>
      <c r="G913" t="s">
        <v>19</v>
      </c>
      <c r="H913">
        <v>0</v>
      </c>
      <c r="I913">
        <v>599</v>
      </c>
      <c r="J913">
        <v>18640</v>
      </c>
      <c r="K913">
        <v>11165360</v>
      </c>
      <c r="L913">
        <v>0</v>
      </c>
      <c r="M913">
        <v>11165360</v>
      </c>
      <c r="N913" t="s">
        <v>893</v>
      </c>
      <c r="O913" t="s">
        <v>680</v>
      </c>
    </row>
    <row r="914" spans="1:15" x14ac:dyDescent="0.3">
      <c r="A914" t="str">
        <f t="shared" si="14"/>
        <v>WDWP000258-R000-WW</v>
      </c>
      <c r="B914" t="s">
        <v>14</v>
      </c>
      <c r="C914" t="s">
        <v>859</v>
      </c>
      <c r="D914" t="s">
        <v>28</v>
      </c>
      <c r="E914" t="s">
        <v>746</v>
      </c>
      <c r="F914" t="s">
        <v>18</v>
      </c>
      <c r="G914" t="s">
        <v>35</v>
      </c>
      <c r="H914">
        <v>0</v>
      </c>
      <c r="I914">
        <v>4500</v>
      </c>
      <c r="J914">
        <v>18640</v>
      </c>
      <c r="K914">
        <v>83880000</v>
      </c>
      <c r="L914">
        <v>0</v>
      </c>
      <c r="M914">
        <v>83880000</v>
      </c>
      <c r="N914" t="s">
        <v>893</v>
      </c>
      <c r="O914" t="s">
        <v>680</v>
      </c>
    </row>
    <row r="915" spans="1:15" x14ac:dyDescent="0.3">
      <c r="A915" t="str">
        <f t="shared" si="14"/>
        <v>WDWP000258-R000-WW</v>
      </c>
      <c r="B915" t="s">
        <v>14</v>
      </c>
      <c r="C915" t="s">
        <v>859</v>
      </c>
      <c r="D915" t="s">
        <v>28</v>
      </c>
      <c r="E915" t="s">
        <v>746</v>
      </c>
      <c r="F915" t="s">
        <v>18</v>
      </c>
      <c r="G915" t="s">
        <v>239</v>
      </c>
      <c r="H915">
        <v>0</v>
      </c>
      <c r="I915">
        <v>75</v>
      </c>
      <c r="J915">
        <v>18640</v>
      </c>
      <c r="K915">
        <v>1398000</v>
      </c>
      <c r="L915">
        <v>0</v>
      </c>
      <c r="M915">
        <v>1398000</v>
      </c>
      <c r="N915" t="s">
        <v>893</v>
      </c>
      <c r="O915" t="s">
        <v>680</v>
      </c>
    </row>
    <row r="916" spans="1:15" x14ac:dyDescent="0.3">
      <c r="A916" t="str">
        <f t="shared" si="14"/>
        <v>WDWP000260-R000-BRC</v>
      </c>
      <c r="B916" t="s">
        <v>14</v>
      </c>
      <c r="C916" t="s">
        <v>894</v>
      </c>
      <c r="D916" t="s">
        <v>895</v>
      </c>
      <c r="E916" t="s">
        <v>896</v>
      </c>
      <c r="F916" t="s">
        <v>18</v>
      </c>
      <c r="G916" t="s">
        <v>35</v>
      </c>
      <c r="H916">
        <v>0</v>
      </c>
      <c r="I916">
        <v>360</v>
      </c>
      <c r="J916">
        <v>18090</v>
      </c>
      <c r="K916">
        <v>6512400</v>
      </c>
      <c r="L916">
        <v>0</v>
      </c>
      <c r="M916">
        <v>6512400</v>
      </c>
      <c r="N916" t="s">
        <v>897</v>
      </c>
      <c r="O916" t="s">
        <v>680</v>
      </c>
    </row>
    <row r="917" spans="1:15" x14ac:dyDescent="0.3">
      <c r="A917" t="str">
        <f t="shared" si="14"/>
        <v>WDWP000260-R000-BRC</v>
      </c>
      <c r="B917" t="s">
        <v>14</v>
      </c>
      <c r="C917" t="s">
        <v>894</v>
      </c>
      <c r="D917" t="s">
        <v>895</v>
      </c>
      <c r="E917" t="s">
        <v>896</v>
      </c>
      <c r="F917" t="s">
        <v>18</v>
      </c>
      <c r="G917" t="s">
        <v>49</v>
      </c>
      <c r="H917">
        <v>0</v>
      </c>
      <c r="I917">
        <v>1550</v>
      </c>
      <c r="J917">
        <v>18090</v>
      </c>
      <c r="K917">
        <v>28039500</v>
      </c>
      <c r="L917">
        <v>0</v>
      </c>
      <c r="M917">
        <v>28039500</v>
      </c>
      <c r="N917" t="s">
        <v>897</v>
      </c>
      <c r="O917" t="s">
        <v>680</v>
      </c>
    </row>
    <row r="918" spans="1:15" x14ac:dyDescent="0.3">
      <c r="A918" t="str">
        <f t="shared" si="14"/>
        <v>WDWP000260-R000-BRC</v>
      </c>
      <c r="B918" t="s">
        <v>14</v>
      </c>
      <c r="C918" t="s">
        <v>894</v>
      </c>
      <c r="D918" t="s">
        <v>895</v>
      </c>
      <c r="E918" t="s">
        <v>896</v>
      </c>
      <c r="F918" t="s">
        <v>18</v>
      </c>
      <c r="G918" t="s">
        <v>210</v>
      </c>
      <c r="H918">
        <v>0</v>
      </c>
      <c r="I918">
        <v>30</v>
      </c>
      <c r="J918">
        <v>18090</v>
      </c>
      <c r="K918">
        <v>542700</v>
      </c>
      <c r="L918">
        <v>0</v>
      </c>
      <c r="M918">
        <v>542700</v>
      </c>
      <c r="N918" t="s">
        <v>897</v>
      </c>
      <c r="O918" t="s">
        <v>680</v>
      </c>
    </row>
    <row r="919" spans="1:15" x14ac:dyDescent="0.3">
      <c r="A919" t="str">
        <f t="shared" si="14"/>
        <v>WDWP000260-R000-BRC</v>
      </c>
      <c r="B919" t="s">
        <v>14</v>
      </c>
      <c r="C919" t="s">
        <v>894</v>
      </c>
      <c r="D919" t="s">
        <v>895</v>
      </c>
      <c r="E919" t="s">
        <v>896</v>
      </c>
      <c r="F919" t="s">
        <v>18</v>
      </c>
      <c r="G919" t="s">
        <v>111</v>
      </c>
      <c r="H919">
        <v>0</v>
      </c>
      <c r="I919">
        <v>900</v>
      </c>
      <c r="J919">
        <v>18090</v>
      </c>
      <c r="K919">
        <v>16281000</v>
      </c>
      <c r="L919">
        <v>0</v>
      </c>
      <c r="M919">
        <v>16281000</v>
      </c>
      <c r="N919" t="s">
        <v>897</v>
      </c>
      <c r="O919" t="s">
        <v>680</v>
      </c>
    </row>
    <row r="920" spans="1:15" x14ac:dyDescent="0.3">
      <c r="A920" t="str">
        <f t="shared" si="14"/>
        <v>WDWP000260-R000-BRC</v>
      </c>
      <c r="B920" t="s">
        <v>14</v>
      </c>
      <c r="C920" t="s">
        <v>894</v>
      </c>
      <c r="D920" t="s">
        <v>895</v>
      </c>
      <c r="E920" t="s">
        <v>896</v>
      </c>
      <c r="F920" t="s">
        <v>18</v>
      </c>
      <c r="G920" t="s">
        <v>19</v>
      </c>
      <c r="H920">
        <v>0</v>
      </c>
      <c r="I920">
        <v>749</v>
      </c>
      <c r="J920">
        <v>18090</v>
      </c>
      <c r="K920">
        <v>13549410</v>
      </c>
      <c r="L920">
        <v>0</v>
      </c>
      <c r="M920">
        <v>13549410</v>
      </c>
      <c r="N920" t="s">
        <v>897</v>
      </c>
      <c r="O920" t="s">
        <v>680</v>
      </c>
    </row>
    <row r="921" spans="1:15" x14ac:dyDescent="0.3">
      <c r="A921" t="str">
        <f t="shared" si="14"/>
        <v>WDWP000260-R000-BRC</v>
      </c>
      <c r="B921" t="s">
        <v>14</v>
      </c>
      <c r="C921" t="s">
        <v>894</v>
      </c>
      <c r="D921" t="s">
        <v>895</v>
      </c>
      <c r="E921" t="s">
        <v>896</v>
      </c>
      <c r="F921" t="s">
        <v>18</v>
      </c>
      <c r="G921" t="s">
        <v>174</v>
      </c>
      <c r="H921">
        <v>0</v>
      </c>
      <c r="I921">
        <v>350</v>
      </c>
      <c r="J921">
        <v>18090</v>
      </c>
      <c r="K921">
        <v>6331500</v>
      </c>
      <c r="L921">
        <v>0</v>
      </c>
      <c r="M921">
        <v>6331500</v>
      </c>
      <c r="N921" t="s">
        <v>897</v>
      </c>
      <c r="O921" t="s">
        <v>680</v>
      </c>
    </row>
    <row r="922" spans="1:15" x14ac:dyDescent="0.3">
      <c r="A922" t="str">
        <f t="shared" si="14"/>
        <v>WDWP000260-R000-FK</v>
      </c>
      <c r="B922" t="s">
        <v>14</v>
      </c>
      <c r="C922" t="s">
        <v>894</v>
      </c>
      <c r="D922" t="s">
        <v>229</v>
      </c>
      <c r="E922" t="s">
        <v>898</v>
      </c>
      <c r="F922" t="s">
        <v>18</v>
      </c>
      <c r="G922" t="s">
        <v>1855</v>
      </c>
      <c r="H922">
        <v>0</v>
      </c>
      <c r="I922">
        <v>10</v>
      </c>
      <c r="J922">
        <v>17370</v>
      </c>
      <c r="K922">
        <v>173700</v>
      </c>
      <c r="L922">
        <v>0</v>
      </c>
      <c r="M922">
        <v>173700</v>
      </c>
      <c r="N922" t="s">
        <v>697</v>
      </c>
      <c r="O922" t="s">
        <v>680</v>
      </c>
    </row>
    <row r="923" spans="1:15" x14ac:dyDescent="0.3">
      <c r="A923" t="str">
        <f t="shared" si="14"/>
        <v>WDWP000260-R000-FK</v>
      </c>
      <c r="B923" t="s">
        <v>14</v>
      </c>
      <c r="C923" t="s">
        <v>894</v>
      </c>
      <c r="D923" t="s">
        <v>229</v>
      </c>
      <c r="E923" t="s">
        <v>898</v>
      </c>
      <c r="F923" t="s">
        <v>18</v>
      </c>
      <c r="G923" t="s">
        <v>210</v>
      </c>
      <c r="H923">
        <v>0</v>
      </c>
      <c r="I923">
        <v>50</v>
      </c>
      <c r="J923">
        <v>17370</v>
      </c>
      <c r="K923">
        <v>868500</v>
      </c>
      <c r="L923">
        <v>0</v>
      </c>
      <c r="M923">
        <v>868500</v>
      </c>
      <c r="N923" t="s">
        <v>697</v>
      </c>
      <c r="O923" t="s">
        <v>680</v>
      </c>
    </row>
    <row r="924" spans="1:15" x14ac:dyDescent="0.3">
      <c r="A924" t="str">
        <f t="shared" si="14"/>
        <v>WDWP000260-R000-SP</v>
      </c>
      <c r="B924" t="s">
        <v>14</v>
      </c>
      <c r="C924" t="s">
        <v>894</v>
      </c>
      <c r="D924" t="s">
        <v>201</v>
      </c>
      <c r="E924" t="s">
        <v>899</v>
      </c>
      <c r="F924" t="s">
        <v>18</v>
      </c>
      <c r="G924" t="s">
        <v>35</v>
      </c>
      <c r="H924">
        <v>0</v>
      </c>
      <c r="I924">
        <v>95</v>
      </c>
      <c r="J924">
        <v>18300</v>
      </c>
      <c r="K924">
        <v>1738500</v>
      </c>
      <c r="L924">
        <v>0</v>
      </c>
      <c r="M924">
        <v>1738500</v>
      </c>
      <c r="N924" t="s">
        <v>897</v>
      </c>
      <c r="O924" t="s">
        <v>680</v>
      </c>
    </row>
    <row r="925" spans="1:15" x14ac:dyDescent="0.3">
      <c r="A925" t="str">
        <f t="shared" si="14"/>
        <v>WDWP000262-R000-BUR</v>
      </c>
      <c r="B925" t="s">
        <v>14</v>
      </c>
      <c r="C925" t="s">
        <v>900</v>
      </c>
      <c r="D925" t="s">
        <v>1049</v>
      </c>
      <c r="E925" t="s">
        <v>1901</v>
      </c>
      <c r="F925" t="s">
        <v>18</v>
      </c>
      <c r="G925" t="s">
        <v>174</v>
      </c>
      <c r="H925">
        <v>0</v>
      </c>
      <c r="I925">
        <v>1</v>
      </c>
      <c r="J925">
        <v>27300</v>
      </c>
      <c r="K925">
        <v>27300</v>
      </c>
      <c r="L925">
        <v>0</v>
      </c>
      <c r="M925">
        <v>27300</v>
      </c>
      <c r="N925" t="s">
        <v>908</v>
      </c>
      <c r="O925" t="s">
        <v>680</v>
      </c>
    </row>
    <row r="926" spans="1:15" x14ac:dyDescent="0.3">
      <c r="A926" t="str">
        <f t="shared" si="14"/>
        <v>WDWP000262-R000-FK</v>
      </c>
      <c r="B926" t="s">
        <v>14</v>
      </c>
      <c r="C926" t="s">
        <v>900</v>
      </c>
      <c r="D926" t="s">
        <v>229</v>
      </c>
      <c r="E926" t="s">
        <v>901</v>
      </c>
      <c r="F926" t="s">
        <v>18</v>
      </c>
      <c r="G926" t="s">
        <v>246</v>
      </c>
      <c r="H926">
        <v>0</v>
      </c>
      <c r="I926">
        <v>254</v>
      </c>
      <c r="J926">
        <v>29820</v>
      </c>
      <c r="K926">
        <v>7574280</v>
      </c>
      <c r="L926">
        <v>0</v>
      </c>
      <c r="M926">
        <v>7574280</v>
      </c>
      <c r="N926" t="s">
        <v>686</v>
      </c>
      <c r="O926" t="s">
        <v>680</v>
      </c>
    </row>
    <row r="927" spans="1:15" x14ac:dyDescent="0.3">
      <c r="A927" t="str">
        <f t="shared" si="14"/>
        <v>WDWP000262-R000-HW</v>
      </c>
      <c r="B927" t="s">
        <v>14</v>
      </c>
      <c r="C927" t="s">
        <v>900</v>
      </c>
      <c r="D927" t="s">
        <v>867</v>
      </c>
      <c r="E927" t="s">
        <v>1902</v>
      </c>
      <c r="F927" t="s">
        <v>18</v>
      </c>
      <c r="G927" t="s">
        <v>111</v>
      </c>
      <c r="H927">
        <v>0</v>
      </c>
      <c r="I927">
        <v>2</v>
      </c>
      <c r="J927">
        <v>30540</v>
      </c>
      <c r="K927">
        <v>61080</v>
      </c>
      <c r="L927">
        <v>0</v>
      </c>
      <c r="M927">
        <v>61080</v>
      </c>
      <c r="N927" t="s">
        <v>686</v>
      </c>
      <c r="O927" t="s">
        <v>680</v>
      </c>
    </row>
    <row r="928" spans="1:15" x14ac:dyDescent="0.3">
      <c r="A928" t="str">
        <f t="shared" si="14"/>
        <v>WDWP000262-R000-MAC</v>
      </c>
      <c r="B928" t="s">
        <v>14</v>
      </c>
      <c r="C928" t="s">
        <v>900</v>
      </c>
      <c r="D928" t="s">
        <v>869</v>
      </c>
      <c r="E928" t="s">
        <v>902</v>
      </c>
      <c r="F928" t="s">
        <v>18</v>
      </c>
      <c r="G928" t="s">
        <v>49</v>
      </c>
      <c r="H928">
        <v>0</v>
      </c>
      <c r="I928">
        <v>79</v>
      </c>
      <c r="J928">
        <v>31330</v>
      </c>
      <c r="K928">
        <v>2475070</v>
      </c>
      <c r="L928">
        <v>0</v>
      </c>
      <c r="M928">
        <v>2475070</v>
      </c>
      <c r="N928" t="s">
        <v>903</v>
      </c>
      <c r="O928" t="s">
        <v>680</v>
      </c>
    </row>
    <row r="929" spans="1:15" x14ac:dyDescent="0.3">
      <c r="A929" t="str">
        <f t="shared" si="14"/>
        <v>WDWP000262-R000-MAC</v>
      </c>
      <c r="B929" t="s">
        <v>14</v>
      </c>
      <c r="C929" t="s">
        <v>900</v>
      </c>
      <c r="D929" t="s">
        <v>869</v>
      </c>
      <c r="E929" t="s">
        <v>902</v>
      </c>
      <c r="F929" t="s">
        <v>18</v>
      </c>
      <c r="G929" t="s">
        <v>977</v>
      </c>
      <c r="H929">
        <v>0</v>
      </c>
      <c r="I929">
        <v>12</v>
      </c>
      <c r="J929">
        <v>31330</v>
      </c>
      <c r="K929">
        <v>375960</v>
      </c>
      <c r="L929">
        <v>0</v>
      </c>
      <c r="M929">
        <v>375960</v>
      </c>
      <c r="N929" t="s">
        <v>903</v>
      </c>
      <c r="O929" t="s">
        <v>680</v>
      </c>
    </row>
    <row r="930" spans="1:15" x14ac:dyDescent="0.3">
      <c r="A930" t="str">
        <f t="shared" si="14"/>
        <v>WDWP000262-R000-MAC</v>
      </c>
      <c r="B930" t="s">
        <v>14</v>
      </c>
      <c r="C930" t="s">
        <v>900</v>
      </c>
      <c r="D930" t="s">
        <v>869</v>
      </c>
      <c r="E930" t="s">
        <v>902</v>
      </c>
      <c r="F930" t="s">
        <v>18</v>
      </c>
      <c r="G930" t="s">
        <v>246</v>
      </c>
      <c r="H930">
        <v>0</v>
      </c>
      <c r="I930">
        <v>459</v>
      </c>
      <c r="J930">
        <v>31330</v>
      </c>
      <c r="K930">
        <v>14380470</v>
      </c>
      <c r="L930">
        <v>0</v>
      </c>
      <c r="M930">
        <v>14380470</v>
      </c>
      <c r="N930" t="s">
        <v>903</v>
      </c>
      <c r="O930" t="s">
        <v>680</v>
      </c>
    </row>
    <row r="931" spans="1:15" x14ac:dyDescent="0.3">
      <c r="A931" t="str">
        <f t="shared" si="14"/>
        <v>WDWP000262-R000-ML</v>
      </c>
      <c r="B931" t="s">
        <v>14</v>
      </c>
      <c r="C931" t="s">
        <v>900</v>
      </c>
      <c r="D931" t="s">
        <v>755</v>
      </c>
      <c r="E931" t="s">
        <v>904</v>
      </c>
      <c r="F931" t="s">
        <v>18</v>
      </c>
      <c r="G931" t="s">
        <v>49</v>
      </c>
      <c r="H931">
        <v>0</v>
      </c>
      <c r="I931">
        <v>10</v>
      </c>
      <c r="J931">
        <v>30320</v>
      </c>
      <c r="K931">
        <v>303200</v>
      </c>
      <c r="L931">
        <v>0</v>
      </c>
      <c r="M931">
        <v>303200</v>
      </c>
      <c r="N931" t="s">
        <v>686</v>
      </c>
      <c r="O931" t="s">
        <v>680</v>
      </c>
    </row>
    <row r="932" spans="1:15" x14ac:dyDescent="0.3">
      <c r="A932" t="str">
        <f t="shared" si="14"/>
        <v>WDWP000262-R000-ML</v>
      </c>
      <c r="B932" t="s">
        <v>14</v>
      </c>
      <c r="C932" t="s">
        <v>900</v>
      </c>
      <c r="D932" t="s">
        <v>755</v>
      </c>
      <c r="E932" t="s">
        <v>904</v>
      </c>
      <c r="F932" t="s">
        <v>18</v>
      </c>
      <c r="G932" t="s">
        <v>246</v>
      </c>
      <c r="H932">
        <v>0</v>
      </c>
      <c r="I932">
        <v>764</v>
      </c>
      <c r="J932">
        <v>30320</v>
      </c>
      <c r="K932">
        <v>23164480</v>
      </c>
      <c r="L932">
        <v>0</v>
      </c>
      <c r="M932">
        <v>23164480</v>
      </c>
      <c r="N932" t="s">
        <v>686</v>
      </c>
      <c r="O932" t="s">
        <v>680</v>
      </c>
    </row>
    <row r="933" spans="1:15" x14ac:dyDescent="0.3">
      <c r="A933" t="str">
        <f t="shared" si="14"/>
        <v>WDWP000262-R000-ML</v>
      </c>
      <c r="B933" t="s">
        <v>14</v>
      </c>
      <c r="C933" t="s">
        <v>900</v>
      </c>
      <c r="D933" t="s">
        <v>755</v>
      </c>
      <c r="E933" t="s">
        <v>904</v>
      </c>
      <c r="F933" t="s">
        <v>18</v>
      </c>
      <c r="G933" t="s">
        <v>83</v>
      </c>
      <c r="H933">
        <v>0</v>
      </c>
      <c r="I933">
        <v>38</v>
      </c>
      <c r="J933">
        <v>30320</v>
      </c>
      <c r="K933">
        <v>1152160</v>
      </c>
      <c r="L933">
        <v>0</v>
      </c>
      <c r="M933">
        <v>1152160</v>
      </c>
      <c r="N933" t="s">
        <v>686</v>
      </c>
      <c r="O933" t="s">
        <v>680</v>
      </c>
    </row>
    <row r="934" spans="1:15" x14ac:dyDescent="0.3">
      <c r="A934" t="str">
        <f t="shared" si="14"/>
        <v>WDWP000262-R000-NGYS</v>
      </c>
      <c r="B934" t="s">
        <v>14</v>
      </c>
      <c r="C934" t="s">
        <v>900</v>
      </c>
      <c r="D934" t="s">
        <v>855</v>
      </c>
      <c r="E934" t="s">
        <v>905</v>
      </c>
      <c r="F934" t="s">
        <v>18</v>
      </c>
      <c r="G934" t="s">
        <v>246</v>
      </c>
      <c r="H934">
        <v>0</v>
      </c>
      <c r="I934">
        <v>35</v>
      </c>
      <c r="J934">
        <v>30850</v>
      </c>
      <c r="K934">
        <v>1079750</v>
      </c>
      <c r="L934">
        <v>0</v>
      </c>
      <c r="M934">
        <v>1079750</v>
      </c>
      <c r="N934" t="s">
        <v>906</v>
      </c>
      <c r="O934" t="s">
        <v>680</v>
      </c>
    </row>
    <row r="935" spans="1:15" x14ac:dyDescent="0.3">
      <c r="A935" t="str">
        <f t="shared" si="14"/>
        <v>WDWP000262-R000-NGYS</v>
      </c>
      <c r="B935" t="s">
        <v>14</v>
      </c>
      <c r="C935" t="s">
        <v>900</v>
      </c>
      <c r="D935" t="s">
        <v>855</v>
      </c>
      <c r="E935" t="s">
        <v>905</v>
      </c>
      <c r="F935" t="s">
        <v>18</v>
      </c>
      <c r="G935" t="s">
        <v>49</v>
      </c>
      <c r="H935">
        <v>0</v>
      </c>
      <c r="I935">
        <v>91</v>
      </c>
      <c r="J935">
        <v>30850</v>
      </c>
      <c r="K935">
        <v>2807350</v>
      </c>
      <c r="L935">
        <v>0</v>
      </c>
      <c r="M935">
        <v>2807350</v>
      </c>
      <c r="N935" t="s">
        <v>906</v>
      </c>
      <c r="O935" t="s">
        <v>680</v>
      </c>
    </row>
    <row r="936" spans="1:15" x14ac:dyDescent="0.3">
      <c r="A936" t="str">
        <f t="shared" si="14"/>
        <v>WDWP000262-R000-NK</v>
      </c>
      <c r="B936" t="s">
        <v>14</v>
      </c>
      <c r="C936" t="s">
        <v>900</v>
      </c>
      <c r="D936" t="s">
        <v>879</v>
      </c>
      <c r="E936" t="s">
        <v>907</v>
      </c>
      <c r="F936" t="s">
        <v>18</v>
      </c>
      <c r="G936" t="s">
        <v>61</v>
      </c>
      <c r="H936">
        <v>0</v>
      </c>
      <c r="I936">
        <v>173</v>
      </c>
      <c r="J936">
        <v>30540</v>
      </c>
      <c r="K936">
        <v>5283420</v>
      </c>
      <c r="L936">
        <v>0</v>
      </c>
      <c r="M936">
        <v>5283420</v>
      </c>
      <c r="N936" t="s">
        <v>686</v>
      </c>
      <c r="O936" t="s">
        <v>680</v>
      </c>
    </row>
    <row r="937" spans="1:15" x14ac:dyDescent="0.3">
      <c r="A937" t="str">
        <f t="shared" si="14"/>
        <v>WDWP000262-R000-RCN</v>
      </c>
      <c r="B937" t="s">
        <v>14</v>
      </c>
      <c r="C937" t="s">
        <v>900</v>
      </c>
      <c r="D937" t="s">
        <v>253</v>
      </c>
      <c r="E937" t="s">
        <v>909</v>
      </c>
      <c r="F937" t="s">
        <v>18</v>
      </c>
      <c r="G937" t="s">
        <v>19</v>
      </c>
      <c r="H937">
        <v>0</v>
      </c>
      <c r="I937">
        <v>22</v>
      </c>
      <c r="J937">
        <v>31340</v>
      </c>
      <c r="K937">
        <v>689480</v>
      </c>
      <c r="L937">
        <v>0</v>
      </c>
      <c r="M937">
        <v>689480</v>
      </c>
      <c r="N937" t="s">
        <v>910</v>
      </c>
      <c r="O937" t="s">
        <v>680</v>
      </c>
    </row>
    <row r="938" spans="1:15" x14ac:dyDescent="0.3">
      <c r="A938" t="str">
        <f t="shared" si="14"/>
        <v>WDWP000262-R000-RCN</v>
      </c>
      <c r="B938" t="s">
        <v>14</v>
      </c>
      <c r="C938" t="s">
        <v>900</v>
      </c>
      <c r="D938" t="s">
        <v>253</v>
      </c>
      <c r="E938" t="s">
        <v>909</v>
      </c>
      <c r="F938" t="s">
        <v>18</v>
      </c>
      <c r="G938" t="s">
        <v>23</v>
      </c>
      <c r="H938">
        <v>0</v>
      </c>
      <c r="I938">
        <v>21</v>
      </c>
      <c r="J938">
        <v>31340</v>
      </c>
      <c r="K938">
        <v>658140</v>
      </c>
      <c r="L938">
        <v>0</v>
      </c>
      <c r="M938">
        <v>658140</v>
      </c>
      <c r="N938" t="s">
        <v>910</v>
      </c>
      <c r="O938" t="s">
        <v>680</v>
      </c>
    </row>
    <row r="939" spans="1:15" x14ac:dyDescent="0.3">
      <c r="A939" t="str">
        <f t="shared" si="14"/>
        <v>WDWP000262-R000-UA</v>
      </c>
      <c r="B939" t="s">
        <v>14</v>
      </c>
      <c r="C939" t="s">
        <v>900</v>
      </c>
      <c r="D939" t="s">
        <v>59</v>
      </c>
      <c r="E939" t="s">
        <v>911</v>
      </c>
      <c r="F939" t="s">
        <v>18</v>
      </c>
      <c r="G939" t="s">
        <v>19</v>
      </c>
      <c r="H939">
        <v>0</v>
      </c>
      <c r="I939">
        <v>16</v>
      </c>
      <c r="J939">
        <v>30200</v>
      </c>
      <c r="K939">
        <v>483200</v>
      </c>
      <c r="L939">
        <v>0</v>
      </c>
      <c r="M939">
        <v>483200</v>
      </c>
      <c r="N939" t="s">
        <v>737</v>
      </c>
      <c r="O939" t="s">
        <v>680</v>
      </c>
    </row>
    <row r="940" spans="1:15" x14ac:dyDescent="0.3">
      <c r="A940" t="str">
        <f t="shared" si="14"/>
        <v>WDWP000262-R000-WW</v>
      </c>
      <c r="B940" t="s">
        <v>14</v>
      </c>
      <c r="C940" t="s">
        <v>900</v>
      </c>
      <c r="D940" t="s">
        <v>28</v>
      </c>
      <c r="E940" t="s">
        <v>912</v>
      </c>
      <c r="F940" t="s">
        <v>18</v>
      </c>
      <c r="G940" t="s">
        <v>210</v>
      </c>
      <c r="H940">
        <v>0</v>
      </c>
      <c r="I940">
        <v>2</v>
      </c>
      <c r="J940">
        <v>28830</v>
      </c>
      <c r="K940">
        <v>57660</v>
      </c>
      <c r="L940">
        <v>0</v>
      </c>
      <c r="M940">
        <v>57660</v>
      </c>
      <c r="N940" t="s">
        <v>913</v>
      </c>
      <c r="O940" t="s">
        <v>680</v>
      </c>
    </row>
    <row r="941" spans="1:15" x14ac:dyDescent="0.3">
      <c r="A941" t="str">
        <f t="shared" si="14"/>
        <v>WDWP000262-R000-WW</v>
      </c>
      <c r="B941" t="s">
        <v>14</v>
      </c>
      <c r="C941" t="s">
        <v>900</v>
      </c>
      <c r="D941" t="s">
        <v>28</v>
      </c>
      <c r="E941" t="s">
        <v>912</v>
      </c>
      <c r="F941" t="s">
        <v>18</v>
      </c>
      <c r="G941" t="s">
        <v>239</v>
      </c>
      <c r="H941">
        <v>0</v>
      </c>
      <c r="I941">
        <v>35</v>
      </c>
      <c r="J941">
        <v>29620</v>
      </c>
      <c r="K941">
        <v>1036700</v>
      </c>
      <c r="L941">
        <v>0</v>
      </c>
      <c r="M941">
        <v>1036700</v>
      </c>
      <c r="N941" t="s">
        <v>913</v>
      </c>
      <c r="O941" t="s">
        <v>680</v>
      </c>
    </row>
    <row r="942" spans="1:15" x14ac:dyDescent="0.3">
      <c r="A942" t="str">
        <f t="shared" si="14"/>
        <v>WDWP000262-R000-WW</v>
      </c>
      <c r="B942" t="s">
        <v>14</v>
      </c>
      <c r="C942" t="s">
        <v>900</v>
      </c>
      <c r="D942" t="s">
        <v>28</v>
      </c>
      <c r="E942" t="s">
        <v>912</v>
      </c>
      <c r="F942" t="s">
        <v>18</v>
      </c>
      <c r="G942" t="s">
        <v>246</v>
      </c>
      <c r="H942">
        <v>0</v>
      </c>
      <c r="I942">
        <v>1225</v>
      </c>
      <c r="J942">
        <v>28830</v>
      </c>
      <c r="K942">
        <v>35316750</v>
      </c>
      <c r="L942">
        <v>0</v>
      </c>
      <c r="M942">
        <v>35316750</v>
      </c>
      <c r="N942" t="s">
        <v>913</v>
      </c>
      <c r="O942" t="s">
        <v>680</v>
      </c>
    </row>
    <row r="943" spans="1:15" x14ac:dyDescent="0.3">
      <c r="A943" t="str">
        <f t="shared" si="14"/>
        <v>WDWP000262-R000-WW</v>
      </c>
      <c r="B943" t="s">
        <v>14</v>
      </c>
      <c r="C943" t="s">
        <v>900</v>
      </c>
      <c r="D943" t="s">
        <v>28</v>
      </c>
      <c r="E943" t="s">
        <v>912</v>
      </c>
      <c r="F943" t="s">
        <v>18</v>
      </c>
      <c r="G943" t="s">
        <v>68</v>
      </c>
      <c r="H943">
        <v>0</v>
      </c>
      <c r="I943">
        <v>171</v>
      </c>
      <c r="J943">
        <v>28830</v>
      </c>
      <c r="K943">
        <v>4929930</v>
      </c>
      <c r="L943">
        <v>0</v>
      </c>
      <c r="M943">
        <v>4929930</v>
      </c>
      <c r="N943" t="s">
        <v>913</v>
      </c>
      <c r="O943" t="s">
        <v>680</v>
      </c>
    </row>
    <row r="944" spans="1:15" x14ac:dyDescent="0.3">
      <c r="A944" t="str">
        <f t="shared" si="14"/>
        <v>WDWP000266-R000-BCY</v>
      </c>
      <c r="B944" t="s">
        <v>14</v>
      </c>
      <c r="C944" t="s">
        <v>915</v>
      </c>
      <c r="D944" t="s">
        <v>916</v>
      </c>
      <c r="E944" t="s">
        <v>917</v>
      </c>
      <c r="F944" t="s">
        <v>18</v>
      </c>
      <c r="G944" t="s">
        <v>246</v>
      </c>
      <c r="H944">
        <v>0</v>
      </c>
      <c r="I944">
        <v>40</v>
      </c>
      <c r="J944">
        <v>25210</v>
      </c>
      <c r="K944">
        <v>1008400</v>
      </c>
      <c r="L944">
        <v>0</v>
      </c>
      <c r="M944">
        <v>1008400</v>
      </c>
      <c r="N944" t="s">
        <v>689</v>
      </c>
      <c r="O944" t="s">
        <v>680</v>
      </c>
    </row>
    <row r="945" spans="1:15" x14ac:dyDescent="0.3">
      <c r="A945" t="str">
        <f t="shared" si="14"/>
        <v>WDWP000266-R000-BE</v>
      </c>
      <c r="B945" t="s">
        <v>14</v>
      </c>
      <c r="C945" t="s">
        <v>915</v>
      </c>
      <c r="D945" t="s">
        <v>270</v>
      </c>
      <c r="E945" t="s">
        <v>918</v>
      </c>
      <c r="F945" t="s">
        <v>18</v>
      </c>
      <c r="G945" t="s">
        <v>23</v>
      </c>
      <c r="H945">
        <v>0</v>
      </c>
      <c r="I945">
        <v>10</v>
      </c>
      <c r="J945">
        <v>25560</v>
      </c>
      <c r="K945">
        <v>255600</v>
      </c>
      <c r="L945">
        <v>0</v>
      </c>
      <c r="M945">
        <v>255600</v>
      </c>
      <c r="N945" t="s">
        <v>689</v>
      </c>
      <c r="O945" t="s">
        <v>680</v>
      </c>
    </row>
    <row r="946" spans="1:15" x14ac:dyDescent="0.3">
      <c r="A946" t="str">
        <f t="shared" si="14"/>
        <v>WDWP000266-R000-BE</v>
      </c>
      <c r="B946" t="s">
        <v>14</v>
      </c>
      <c r="C946" t="s">
        <v>915</v>
      </c>
      <c r="D946" t="s">
        <v>270</v>
      </c>
      <c r="E946" t="s">
        <v>918</v>
      </c>
      <c r="F946" t="s">
        <v>18</v>
      </c>
      <c r="G946" t="s">
        <v>35</v>
      </c>
      <c r="H946">
        <v>0</v>
      </c>
      <c r="I946">
        <v>21</v>
      </c>
      <c r="J946">
        <v>25560</v>
      </c>
      <c r="K946">
        <v>536760</v>
      </c>
      <c r="L946">
        <v>0</v>
      </c>
      <c r="M946">
        <v>536760</v>
      </c>
      <c r="N946" t="s">
        <v>689</v>
      </c>
      <c r="O946" t="s">
        <v>680</v>
      </c>
    </row>
    <row r="947" spans="1:15" x14ac:dyDescent="0.3">
      <c r="A947" t="str">
        <f t="shared" si="14"/>
        <v>WDWP000266-R000-BK</v>
      </c>
      <c r="B947" t="s">
        <v>14</v>
      </c>
      <c r="C947" t="s">
        <v>915</v>
      </c>
      <c r="D947" t="s">
        <v>31</v>
      </c>
      <c r="E947" t="s">
        <v>919</v>
      </c>
      <c r="F947" t="s">
        <v>18</v>
      </c>
      <c r="G947" t="s">
        <v>818</v>
      </c>
      <c r="H947">
        <v>0</v>
      </c>
      <c r="I947">
        <v>20</v>
      </c>
      <c r="J947">
        <v>27420</v>
      </c>
      <c r="K947">
        <v>548400</v>
      </c>
      <c r="L947">
        <v>0</v>
      </c>
      <c r="M947">
        <v>548400</v>
      </c>
      <c r="N947" t="s">
        <v>736</v>
      </c>
      <c r="O947" t="s">
        <v>680</v>
      </c>
    </row>
    <row r="948" spans="1:15" x14ac:dyDescent="0.3">
      <c r="A948" t="str">
        <f t="shared" si="14"/>
        <v>WDWP000266-R000-BK</v>
      </c>
      <c r="B948" t="s">
        <v>14</v>
      </c>
      <c r="C948" t="s">
        <v>915</v>
      </c>
      <c r="D948" t="s">
        <v>31</v>
      </c>
      <c r="E948" t="s">
        <v>919</v>
      </c>
      <c r="F948" t="s">
        <v>18</v>
      </c>
      <c r="G948" t="s">
        <v>239</v>
      </c>
      <c r="H948">
        <v>0</v>
      </c>
      <c r="I948">
        <v>3</v>
      </c>
      <c r="J948">
        <v>28050</v>
      </c>
      <c r="K948">
        <v>84150</v>
      </c>
      <c r="L948">
        <v>0</v>
      </c>
      <c r="M948">
        <v>84150</v>
      </c>
      <c r="N948" t="s">
        <v>736</v>
      </c>
      <c r="O948" t="s">
        <v>680</v>
      </c>
    </row>
    <row r="949" spans="1:15" x14ac:dyDescent="0.3">
      <c r="A949" t="str">
        <f t="shared" si="14"/>
        <v>WDWP000266-R000-BK</v>
      </c>
      <c r="B949" t="s">
        <v>14</v>
      </c>
      <c r="C949" t="s">
        <v>915</v>
      </c>
      <c r="D949" t="s">
        <v>31</v>
      </c>
      <c r="E949" t="s">
        <v>919</v>
      </c>
      <c r="F949" t="s">
        <v>18</v>
      </c>
      <c r="G949" t="s">
        <v>111</v>
      </c>
      <c r="H949">
        <v>0</v>
      </c>
      <c r="I949">
        <v>14</v>
      </c>
      <c r="J949">
        <v>27420</v>
      </c>
      <c r="K949">
        <v>383880</v>
      </c>
      <c r="L949">
        <v>0</v>
      </c>
      <c r="M949">
        <v>383880</v>
      </c>
      <c r="N949" t="s">
        <v>736</v>
      </c>
      <c r="O949" t="s">
        <v>680</v>
      </c>
    </row>
    <row r="950" spans="1:15" x14ac:dyDescent="0.3">
      <c r="A950" t="str">
        <f t="shared" si="14"/>
        <v>WDWP000266-R000-CC</v>
      </c>
      <c r="B950" t="s">
        <v>14</v>
      </c>
      <c r="C950" t="s">
        <v>915</v>
      </c>
      <c r="D950" t="s">
        <v>249</v>
      </c>
      <c r="E950" t="s">
        <v>920</v>
      </c>
      <c r="F950" t="s">
        <v>18</v>
      </c>
      <c r="G950" t="s">
        <v>119</v>
      </c>
      <c r="H950">
        <v>0</v>
      </c>
      <c r="I950">
        <v>3</v>
      </c>
      <c r="J950">
        <v>26460</v>
      </c>
      <c r="K950">
        <v>79380</v>
      </c>
      <c r="L950">
        <v>0</v>
      </c>
      <c r="M950">
        <v>79380</v>
      </c>
      <c r="N950" t="s">
        <v>689</v>
      </c>
      <c r="O950" t="s">
        <v>680</v>
      </c>
    </row>
    <row r="951" spans="1:15" x14ac:dyDescent="0.3">
      <c r="A951" t="str">
        <f t="shared" si="14"/>
        <v>WDWP000266-R000-CZ</v>
      </c>
      <c r="B951" t="s">
        <v>14</v>
      </c>
      <c r="C951" t="s">
        <v>915</v>
      </c>
      <c r="D951" t="s">
        <v>861</v>
      </c>
      <c r="E951" t="s">
        <v>922</v>
      </c>
      <c r="F951" t="s">
        <v>18</v>
      </c>
      <c r="G951" t="s">
        <v>35</v>
      </c>
      <c r="H951">
        <v>0</v>
      </c>
      <c r="I951">
        <v>343</v>
      </c>
      <c r="J951">
        <v>26600</v>
      </c>
      <c r="K951">
        <v>9123800</v>
      </c>
      <c r="L951">
        <v>0</v>
      </c>
      <c r="M951">
        <v>9123800</v>
      </c>
      <c r="N951" t="s">
        <v>834</v>
      </c>
      <c r="O951" t="s">
        <v>680</v>
      </c>
    </row>
    <row r="952" spans="1:15" x14ac:dyDescent="0.3">
      <c r="A952" t="str">
        <f t="shared" si="14"/>
        <v>WDWP000266-R000-FIV</v>
      </c>
      <c r="B952" t="s">
        <v>14</v>
      </c>
      <c r="C952" t="s">
        <v>915</v>
      </c>
      <c r="D952" t="s">
        <v>195</v>
      </c>
      <c r="E952" t="s">
        <v>923</v>
      </c>
      <c r="F952" t="s">
        <v>18</v>
      </c>
      <c r="G952" t="s">
        <v>111</v>
      </c>
      <c r="H952">
        <v>0</v>
      </c>
      <c r="I952">
        <v>22</v>
      </c>
      <c r="J952">
        <v>25330</v>
      </c>
      <c r="K952">
        <v>557260</v>
      </c>
      <c r="L952">
        <v>0</v>
      </c>
      <c r="M952">
        <v>557260</v>
      </c>
      <c r="N952" t="s">
        <v>736</v>
      </c>
      <c r="O952" t="s">
        <v>680</v>
      </c>
    </row>
    <row r="953" spans="1:15" x14ac:dyDescent="0.3">
      <c r="A953" t="str">
        <f t="shared" si="14"/>
        <v>WDWP000266-R000-FIV</v>
      </c>
      <c r="B953" t="s">
        <v>14</v>
      </c>
      <c r="C953" t="s">
        <v>915</v>
      </c>
      <c r="D953" t="s">
        <v>195</v>
      </c>
      <c r="E953" t="s">
        <v>923</v>
      </c>
      <c r="F953" t="s">
        <v>18</v>
      </c>
      <c r="G953" t="s">
        <v>35</v>
      </c>
      <c r="H953">
        <v>0</v>
      </c>
      <c r="I953">
        <v>5</v>
      </c>
      <c r="J953">
        <v>25960</v>
      </c>
      <c r="K953">
        <v>129800</v>
      </c>
      <c r="L953">
        <v>0</v>
      </c>
      <c r="M953">
        <v>129800</v>
      </c>
      <c r="N953" t="s">
        <v>736</v>
      </c>
      <c r="O953" t="s">
        <v>680</v>
      </c>
    </row>
    <row r="954" spans="1:15" x14ac:dyDescent="0.3">
      <c r="A954" t="str">
        <f t="shared" si="14"/>
        <v>WDWP000266-R000-FIV</v>
      </c>
      <c r="B954" t="s">
        <v>14</v>
      </c>
      <c r="C954" t="s">
        <v>915</v>
      </c>
      <c r="D954" t="s">
        <v>195</v>
      </c>
      <c r="E954" t="s">
        <v>923</v>
      </c>
      <c r="F954" t="s">
        <v>18</v>
      </c>
      <c r="G954" t="s">
        <v>174</v>
      </c>
      <c r="H954">
        <v>0</v>
      </c>
      <c r="I954">
        <v>-3</v>
      </c>
      <c r="J954">
        <v>26130</v>
      </c>
      <c r="K954">
        <v>-78390</v>
      </c>
      <c r="L954">
        <v>0</v>
      </c>
      <c r="M954">
        <v>-78390</v>
      </c>
      <c r="N954" t="s">
        <v>736</v>
      </c>
      <c r="O954" t="s">
        <v>680</v>
      </c>
    </row>
    <row r="955" spans="1:15" x14ac:dyDescent="0.3">
      <c r="A955" t="str">
        <f t="shared" si="14"/>
        <v>WDWP000266-R000-FK</v>
      </c>
      <c r="B955" t="s">
        <v>14</v>
      </c>
      <c r="C955" t="s">
        <v>915</v>
      </c>
      <c r="D955" t="s">
        <v>229</v>
      </c>
      <c r="E955" t="s">
        <v>924</v>
      </c>
      <c r="F955" t="s">
        <v>18</v>
      </c>
      <c r="G955" t="s">
        <v>1855</v>
      </c>
      <c r="H955">
        <v>0</v>
      </c>
      <c r="I955">
        <v>11</v>
      </c>
      <c r="J955">
        <v>25040</v>
      </c>
      <c r="K955">
        <v>275440</v>
      </c>
      <c r="L955">
        <v>0</v>
      </c>
      <c r="M955">
        <v>275440</v>
      </c>
      <c r="N955" t="s">
        <v>689</v>
      </c>
      <c r="O955" t="s">
        <v>680</v>
      </c>
    </row>
    <row r="956" spans="1:15" x14ac:dyDescent="0.3">
      <c r="A956" t="str">
        <f t="shared" si="14"/>
        <v>WDWP000266-R000-FK</v>
      </c>
      <c r="B956" t="s">
        <v>14</v>
      </c>
      <c r="C956" t="s">
        <v>915</v>
      </c>
      <c r="D956" t="s">
        <v>229</v>
      </c>
      <c r="E956" t="s">
        <v>924</v>
      </c>
      <c r="F956" t="s">
        <v>18</v>
      </c>
      <c r="G956" t="s">
        <v>49</v>
      </c>
      <c r="H956">
        <v>0</v>
      </c>
      <c r="I956">
        <v>20</v>
      </c>
      <c r="J956">
        <v>25040</v>
      </c>
      <c r="K956">
        <v>500800</v>
      </c>
      <c r="L956">
        <v>0</v>
      </c>
      <c r="M956">
        <v>500800</v>
      </c>
      <c r="N956" t="s">
        <v>689</v>
      </c>
      <c r="O956" t="s">
        <v>680</v>
      </c>
    </row>
    <row r="957" spans="1:15" x14ac:dyDescent="0.3">
      <c r="A957" t="str">
        <f t="shared" si="14"/>
        <v>WDWP000266-R000-FK</v>
      </c>
      <c r="B957" t="s">
        <v>14</v>
      </c>
      <c r="C957" t="s">
        <v>915</v>
      </c>
      <c r="D957" t="s">
        <v>229</v>
      </c>
      <c r="E957" t="s">
        <v>924</v>
      </c>
      <c r="F957" t="s">
        <v>18</v>
      </c>
      <c r="G957" t="s">
        <v>19</v>
      </c>
      <c r="H957">
        <v>0</v>
      </c>
      <c r="I957">
        <v>80</v>
      </c>
      <c r="J957">
        <v>25040</v>
      </c>
      <c r="K957">
        <v>2003200</v>
      </c>
      <c r="L957">
        <v>0</v>
      </c>
      <c r="M957">
        <v>2003200</v>
      </c>
      <c r="N957" t="s">
        <v>689</v>
      </c>
      <c r="O957" t="s">
        <v>680</v>
      </c>
    </row>
    <row r="958" spans="1:15" x14ac:dyDescent="0.3">
      <c r="A958" t="str">
        <f t="shared" si="14"/>
        <v>WDWP000266-R000-FK</v>
      </c>
      <c r="B958" t="s">
        <v>14</v>
      </c>
      <c r="C958" t="s">
        <v>915</v>
      </c>
      <c r="D958" t="s">
        <v>229</v>
      </c>
      <c r="E958" t="s">
        <v>924</v>
      </c>
      <c r="F958" t="s">
        <v>18</v>
      </c>
      <c r="G958" t="s">
        <v>35</v>
      </c>
      <c r="H958">
        <v>0</v>
      </c>
      <c r="I958">
        <v>240</v>
      </c>
      <c r="J958">
        <v>25040</v>
      </c>
      <c r="K958">
        <v>6009600</v>
      </c>
      <c r="L958">
        <v>0</v>
      </c>
      <c r="M958">
        <v>6009600</v>
      </c>
      <c r="N958" t="s">
        <v>689</v>
      </c>
      <c r="O958" t="s">
        <v>680</v>
      </c>
    </row>
    <row r="959" spans="1:15" x14ac:dyDescent="0.3">
      <c r="A959" t="str">
        <f t="shared" si="14"/>
        <v>WDWP000266-R000-FK</v>
      </c>
      <c r="B959" t="s">
        <v>14</v>
      </c>
      <c r="C959" t="s">
        <v>915</v>
      </c>
      <c r="D959" t="s">
        <v>229</v>
      </c>
      <c r="E959" t="s">
        <v>924</v>
      </c>
      <c r="F959" t="s">
        <v>18</v>
      </c>
      <c r="G959" t="s">
        <v>210</v>
      </c>
      <c r="H959">
        <v>0</v>
      </c>
      <c r="I959">
        <v>40</v>
      </c>
      <c r="J959">
        <v>25040</v>
      </c>
      <c r="K959">
        <v>1001600</v>
      </c>
      <c r="L959">
        <v>0</v>
      </c>
      <c r="M959">
        <v>1001600</v>
      </c>
      <c r="N959" t="s">
        <v>689</v>
      </c>
      <c r="O959" t="s">
        <v>680</v>
      </c>
    </row>
    <row r="960" spans="1:15" x14ac:dyDescent="0.3">
      <c r="A960" t="str">
        <f t="shared" si="14"/>
        <v>WDWP000266-R000-FKI</v>
      </c>
      <c r="B960" t="s">
        <v>14</v>
      </c>
      <c r="C960" t="s">
        <v>915</v>
      </c>
      <c r="D960" t="s">
        <v>1903</v>
      </c>
      <c r="E960" t="s">
        <v>1904</v>
      </c>
      <c r="F960" t="s">
        <v>18</v>
      </c>
      <c r="G960" t="s">
        <v>49</v>
      </c>
      <c r="H960">
        <v>0</v>
      </c>
      <c r="I960">
        <v>1</v>
      </c>
      <c r="J960">
        <v>43560</v>
      </c>
      <c r="K960">
        <v>43560</v>
      </c>
      <c r="L960">
        <v>0</v>
      </c>
      <c r="M960">
        <v>43560</v>
      </c>
      <c r="N960" t="s">
        <v>689</v>
      </c>
      <c r="O960" t="s">
        <v>680</v>
      </c>
    </row>
    <row r="961" spans="1:15" x14ac:dyDescent="0.3">
      <c r="A961" t="str">
        <f t="shared" si="14"/>
        <v>WDWP000266-R000-GU</v>
      </c>
      <c r="B961" t="s">
        <v>14</v>
      </c>
      <c r="C961" t="s">
        <v>915</v>
      </c>
      <c r="D961" t="s">
        <v>274</v>
      </c>
      <c r="E961" t="s">
        <v>925</v>
      </c>
      <c r="F961" t="s">
        <v>18</v>
      </c>
      <c r="G961" t="s">
        <v>35</v>
      </c>
      <c r="H961">
        <v>0</v>
      </c>
      <c r="I961">
        <v>266</v>
      </c>
      <c r="J961">
        <v>25040</v>
      </c>
      <c r="K961">
        <v>6660640</v>
      </c>
      <c r="L961">
        <v>0</v>
      </c>
      <c r="M961">
        <v>6660640</v>
      </c>
      <c r="N961" t="s">
        <v>689</v>
      </c>
      <c r="O961" t="s">
        <v>680</v>
      </c>
    </row>
    <row r="962" spans="1:15" x14ac:dyDescent="0.3">
      <c r="A962" t="str">
        <f t="shared" si="14"/>
        <v>WDWP000266-R000-GU</v>
      </c>
      <c r="B962" t="s">
        <v>14</v>
      </c>
      <c r="C962" t="s">
        <v>915</v>
      </c>
      <c r="D962" t="s">
        <v>274</v>
      </c>
      <c r="E962" t="s">
        <v>925</v>
      </c>
      <c r="F962" t="s">
        <v>18</v>
      </c>
      <c r="G962" t="s">
        <v>111</v>
      </c>
      <c r="H962">
        <v>0</v>
      </c>
      <c r="I962">
        <v>33</v>
      </c>
      <c r="J962">
        <v>25040</v>
      </c>
      <c r="K962">
        <v>826320</v>
      </c>
      <c r="L962">
        <v>0</v>
      </c>
      <c r="M962">
        <v>826320</v>
      </c>
      <c r="N962" t="s">
        <v>689</v>
      </c>
      <c r="O962" t="s">
        <v>680</v>
      </c>
    </row>
    <row r="963" spans="1:15" x14ac:dyDescent="0.3">
      <c r="A963" t="str">
        <f t="shared" ref="A963:A1026" si="15">C963&amp;"-"&amp;D963</f>
        <v>WDWP000266-R000-GU</v>
      </c>
      <c r="B963" t="s">
        <v>14</v>
      </c>
      <c r="C963" t="s">
        <v>915</v>
      </c>
      <c r="D963" t="s">
        <v>274</v>
      </c>
      <c r="E963" t="s">
        <v>925</v>
      </c>
      <c r="F963" t="s">
        <v>18</v>
      </c>
      <c r="G963" t="s">
        <v>49</v>
      </c>
      <c r="H963">
        <v>0</v>
      </c>
      <c r="I963">
        <v>20</v>
      </c>
      <c r="J963">
        <v>25040</v>
      </c>
      <c r="K963">
        <v>500800</v>
      </c>
      <c r="L963">
        <v>0</v>
      </c>
      <c r="M963">
        <v>500800</v>
      </c>
      <c r="N963" t="s">
        <v>689</v>
      </c>
      <c r="O963" t="s">
        <v>680</v>
      </c>
    </row>
    <row r="964" spans="1:15" x14ac:dyDescent="0.3">
      <c r="A964" t="str">
        <f t="shared" si="15"/>
        <v>WDWP000266-R000-GU</v>
      </c>
      <c r="B964" t="s">
        <v>14</v>
      </c>
      <c r="C964" t="s">
        <v>915</v>
      </c>
      <c r="D964" t="s">
        <v>274</v>
      </c>
      <c r="E964" t="s">
        <v>925</v>
      </c>
      <c r="F964" t="s">
        <v>18</v>
      </c>
      <c r="G964" t="s">
        <v>210</v>
      </c>
      <c r="H964">
        <v>0</v>
      </c>
      <c r="I964">
        <v>40</v>
      </c>
      <c r="J964">
        <v>25040</v>
      </c>
      <c r="K964">
        <v>1001600</v>
      </c>
      <c r="L964">
        <v>0</v>
      </c>
      <c r="M964">
        <v>1001600</v>
      </c>
      <c r="N964" t="s">
        <v>689</v>
      </c>
      <c r="O964" t="s">
        <v>680</v>
      </c>
    </row>
    <row r="965" spans="1:15" x14ac:dyDescent="0.3">
      <c r="A965" t="str">
        <f t="shared" si="15"/>
        <v>WDWP000266-R000-GU</v>
      </c>
      <c r="B965" t="s">
        <v>14</v>
      </c>
      <c r="C965" t="s">
        <v>915</v>
      </c>
      <c r="D965" t="s">
        <v>274</v>
      </c>
      <c r="E965" t="s">
        <v>925</v>
      </c>
      <c r="F965" t="s">
        <v>18</v>
      </c>
      <c r="G965" t="s">
        <v>68</v>
      </c>
      <c r="H965">
        <v>0</v>
      </c>
      <c r="I965">
        <v>21</v>
      </c>
      <c r="J965">
        <v>25040</v>
      </c>
      <c r="K965">
        <v>525840</v>
      </c>
      <c r="L965">
        <v>0</v>
      </c>
      <c r="M965">
        <v>525840</v>
      </c>
      <c r="N965" t="s">
        <v>689</v>
      </c>
      <c r="O965" t="s">
        <v>680</v>
      </c>
    </row>
    <row r="966" spans="1:15" x14ac:dyDescent="0.3">
      <c r="A966" t="str">
        <f t="shared" si="15"/>
        <v>WDWP000266-R000-GYM</v>
      </c>
      <c r="B966" t="s">
        <v>14</v>
      </c>
      <c r="C966" t="s">
        <v>915</v>
      </c>
      <c r="D966" t="s">
        <v>570</v>
      </c>
      <c r="E966" t="s">
        <v>926</v>
      </c>
      <c r="F966" t="s">
        <v>18</v>
      </c>
      <c r="G966" t="s">
        <v>111</v>
      </c>
      <c r="H966">
        <v>0</v>
      </c>
      <c r="I966">
        <v>95</v>
      </c>
      <c r="J966">
        <v>25210</v>
      </c>
      <c r="K966">
        <v>2394950</v>
      </c>
      <c r="L966">
        <v>0</v>
      </c>
      <c r="M966">
        <v>2394950</v>
      </c>
      <c r="N966" t="s">
        <v>689</v>
      </c>
      <c r="O966" t="s">
        <v>680</v>
      </c>
    </row>
    <row r="967" spans="1:15" x14ac:dyDescent="0.3">
      <c r="A967" t="str">
        <f t="shared" si="15"/>
        <v>WDWP000266-R000-GYM</v>
      </c>
      <c r="B967" t="s">
        <v>14</v>
      </c>
      <c r="C967" t="s">
        <v>915</v>
      </c>
      <c r="D967" t="s">
        <v>570</v>
      </c>
      <c r="E967" t="s">
        <v>926</v>
      </c>
      <c r="F967" t="s">
        <v>18</v>
      </c>
      <c r="G967" t="s">
        <v>210</v>
      </c>
      <c r="H967">
        <v>0</v>
      </c>
      <c r="I967">
        <v>42</v>
      </c>
      <c r="J967">
        <v>25210</v>
      </c>
      <c r="K967">
        <v>1058820</v>
      </c>
      <c r="L967">
        <v>0</v>
      </c>
      <c r="M967">
        <v>1058820</v>
      </c>
      <c r="N967" t="s">
        <v>689</v>
      </c>
      <c r="O967" t="s">
        <v>680</v>
      </c>
    </row>
    <row r="968" spans="1:15" x14ac:dyDescent="0.3">
      <c r="A968" t="str">
        <f t="shared" si="15"/>
        <v>WDWP000266-R000-GYM</v>
      </c>
      <c r="B968" t="s">
        <v>14</v>
      </c>
      <c r="C968" t="s">
        <v>915</v>
      </c>
      <c r="D968" t="s">
        <v>570</v>
      </c>
      <c r="E968" t="s">
        <v>926</v>
      </c>
      <c r="F968" t="s">
        <v>18</v>
      </c>
      <c r="G968" t="s">
        <v>83</v>
      </c>
      <c r="H968">
        <v>0</v>
      </c>
      <c r="I968">
        <v>40</v>
      </c>
      <c r="J968">
        <v>25210</v>
      </c>
      <c r="K968">
        <v>1008400</v>
      </c>
      <c r="L968">
        <v>0</v>
      </c>
      <c r="M968">
        <v>1008400</v>
      </c>
      <c r="N968" t="s">
        <v>689</v>
      </c>
      <c r="O968" t="s">
        <v>680</v>
      </c>
    </row>
    <row r="969" spans="1:15" x14ac:dyDescent="0.3">
      <c r="A969" t="str">
        <f t="shared" si="15"/>
        <v>WDWP000266-R000-HW</v>
      </c>
      <c r="B969" t="s">
        <v>14</v>
      </c>
      <c r="C969" t="s">
        <v>915</v>
      </c>
      <c r="D969" t="s">
        <v>867</v>
      </c>
      <c r="E969" t="s">
        <v>1905</v>
      </c>
      <c r="F969" t="s">
        <v>18</v>
      </c>
      <c r="G969" t="s">
        <v>35</v>
      </c>
      <c r="H969">
        <v>0</v>
      </c>
      <c r="I969">
        <v>3</v>
      </c>
      <c r="J969">
        <v>26390</v>
      </c>
      <c r="K969">
        <v>79170</v>
      </c>
      <c r="L969">
        <v>0</v>
      </c>
      <c r="M969">
        <v>79170</v>
      </c>
      <c r="N969" t="s">
        <v>689</v>
      </c>
      <c r="O969" t="s">
        <v>680</v>
      </c>
    </row>
    <row r="970" spans="1:15" x14ac:dyDescent="0.3">
      <c r="A970" t="str">
        <f t="shared" si="15"/>
        <v>WDWP000266-R000-HW</v>
      </c>
      <c r="B970" t="s">
        <v>14</v>
      </c>
      <c r="C970" t="s">
        <v>915</v>
      </c>
      <c r="D970" t="s">
        <v>867</v>
      </c>
      <c r="E970" t="s">
        <v>1905</v>
      </c>
      <c r="F970" t="s">
        <v>18</v>
      </c>
      <c r="G970" t="s">
        <v>19</v>
      </c>
      <c r="H970">
        <v>0</v>
      </c>
      <c r="I970">
        <v>160</v>
      </c>
      <c r="J970">
        <v>25770</v>
      </c>
      <c r="K970">
        <v>4123200</v>
      </c>
      <c r="L970">
        <v>0</v>
      </c>
      <c r="M970">
        <v>4123200</v>
      </c>
      <c r="N970" t="s">
        <v>689</v>
      </c>
      <c r="O970" t="s">
        <v>680</v>
      </c>
    </row>
    <row r="971" spans="1:15" x14ac:dyDescent="0.3">
      <c r="A971" t="str">
        <f t="shared" si="15"/>
        <v>WDWP000266-R000-HW</v>
      </c>
      <c r="B971" t="s">
        <v>14</v>
      </c>
      <c r="C971" t="s">
        <v>915</v>
      </c>
      <c r="D971" t="s">
        <v>867</v>
      </c>
      <c r="E971" t="s">
        <v>1905</v>
      </c>
      <c r="F971" t="s">
        <v>18</v>
      </c>
      <c r="G971" t="s">
        <v>35</v>
      </c>
      <c r="H971">
        <v>0</v>
      </c>
      <c r="I971">
        <v>226</v>
      </c>
      <c r="J971">
        <v>25770</v>
      </c>
      <c r="K971">
        <v>5824020</v>
      </c>
      <c r="L971">
        <v>0</v>
      </c>
      <c r="M971">
        <v>5824020</v>
      </c>
      <c r="N971" t="s">
        <v>689</v>
      </c>
      <c r="O971" t="s">
        <v>680</v>
      </c>
    </row>
    <row r="972" spans="1:15" x14ac:dyDescent="0.3">
      <c r="A972" t="str">
        <f t="shared" si="15"/>
        <v>WDWP000266-R000-IV</v>
      </c>
      <c r="B972" t="s">
        <v>14</v>
      </c>
      <c r="C972" t="s">
        <v>915</v>
      </c>
      <c r="D972" t="s">
        <v>214</v>
      </c>
      <c r="E972" t="s">
        <v>766</v>
      </c>
      <c r="F972" t="s">
        <v>18</v>
      </c>
      <c r="G972" t="s">
        <v>210</v>
      </c>
      <c r="H972">
        <v>0</v>
      </c>
      <c r="I972">
        <v>320</v>
      </c>
      <c r="J972">
        <v>24790</v>
      </c>
      <c r="K972">
        <v>7932800</v>
      </c>
      <c r="L972">
        <v>0</v>
      </c>
      <c r="M972">
        <v>7932800</v>
      </c>
      <c r="N972" t="s">
        <v>689</v>
      </c>
      <c r="O972" t="s">
        <v>680</v>
      </c>
    </row>
    <row r="973" spans="1:15" x14ac:dyDescent="0.3">
      <c r="A973" t="str">
        <f t="shared" si="15"/>
        <v>WDWP000266-R000-IV</v>
      </c>
      <c r="B973" t="s">
        <v>14</v>
      </c>
      <c r="C973" t="s">
        <v>915</v>
      </c>
      <c r="D973" t="s">
        <v>214</v>
      </c>
      <c r="E973" t="s">
        <v>766</v>
      </c>
      <c r="F973" t="s">
        <v>18</v>
      </c>
      <c r="G973" t="s">
        <v>49</v>
      </c>
      <c r="H973">
        <v>0</v>
      </c>
      <c r="I973">
        <v>80</v>
      </c>
      <c r="J973">
        <v>24790</v>
      </c>
      <c r="K973">
        <v>1983200</v>
      </c>
      <c r="L973">
        <v>0</v>
      </c>
      <c r="M973">
        <v>1983200</v>
      </c>
      <c r="N973" t="s">
        <v>689</v>
      </c>
      <c r="O973" t="s">
        <v>680</v>
      </c>
    </row>
    <row r="974" spans="1:15" x14ac:dyDescent="0.3">
      <c r="A974" t="str">
        <f t="shared" si="15"/>
        <v>WDWP000266-R000-IV</v>
      </c>
      <c r="B974" t="s">
        <v>14</v>
      </c>
      <c r="C974" t="s">
        <v>915</v>
      </c>
      <c r="D974" t="s">
        <v>214</v>
      </c>
      <c r="E974" t="s">
        <v>766</v>
      </c>
      <c r="F974" t="s">
        <v>18</v>
      </c>
      <c r="G974" t="s">
        <v>63</v>
      </c>
      <c r="H974">
        <v>0</v>
      </c>
      <c r="I974">
        <v>30</v>
      </c>
      <c r="J974">
        <v>24790</v>
      </c>
      <c r="K974">
        <v>743700</v>
      </c>
      <c r="L974">
        <v>0</v>
      </c>
      <c r="M974">
        <v>743700</v>
      </c>
      <c r="N974" t="s">
        <v>689</v>
      </c>
      <c r="O974" t="s">
        <v>680</v>
      </c>
    </row>
    <row r="975" spans="1:15" x14ac:dyDescent="0.3">
      <c r="A975" t="str">
        <f t="shared" si="15"/>
        <v>WDWP000266-R000-IV</v>
      </c>
      <c r="B975" t="s">
        <v>14</v>
      </c>
      <c r="C975" t="s">
        <v>915</v>
      </c>
      <c r="D975" t="s">
        <v>214</v>
      </c>
      <c r="E975" t="s">
        <v>766</v>
      </c>
      <c r="F975" t="s">
        <v>18</v>
      </c>
      <c r="G975" t="s">
        <v>35</v>
      </c>
      <c r="H975">
        <v>0</v>
      </c>
      <c r="I975">
        <v>720</v>
      </c>
      <c r="J975">
        <v>24790</v>
      </c>
      <c r="K975">
        <v>17848800</v>
      </c>
      <c r="L975">
        <v>0</v>
      </c>
      <c r="M975">
        <v>17848800</v>
      </c>
      <c r="N975" t="s">
        <v>689</v>
      </c>
      <c r="O975" t="s">
        <v>680</v>
      </c>
    </row>
    <row r="976" spans="1:15" x14ac:dyDescent="0.3">
      <c r="A976" t="str">
        <f t="shared" si="15"/>
        <v>WDWP000266-R000-IV</v>
      </c>
      <c r="B976" t="s">
        <v>14</v>
      </c>
      <c r="C976" t="s">
        <v>915</v>
      </c>
      <c r="D976" t="s">
        <v>214</v>
      </c>
      <c r="E976" t="s">
        <v>766</v>
      </c>
      <c r="F976" t="s">
        <v>18</v>
      </c>
      <c r="G976" t="s">
        <v>19</v>
      </c>
      <c r="H976">
        <v>0</v>
      </c>
      <c r="I976">
        <v>360</v>
      </c>
      <c r="J976">
        <v>24790</v>
      </c>
      <c r="K976">
        <v>8924400</v>
      </c>
      <c r="L976">
        <v>0</v>
      </c>
      <c r="M976">
        <v>8924400</v>
      </c>
      <c r="N976" t="s">
        <v>689</v>
      </c>
      <c r="O976" t="s">
        <v>680</v>
      </c>
    </row>
    <row r="977" spans="1:15" x14ac:dyDescent="0.3">
      <c r="A977" t="str">
        <f t="shared" si="15"/>
        <v>WDWP000266-R000-LD</v>
      </c>
      <c r="B977" t="s">
        <v>14</v>
      </c>
      <c r="C977" t="s">
        <v>915</v>
      </c>
      <c r="D977" t="s">
        <v>234</v>
      </c>
      <c r="E977" t="s">
        <v>927</v>
      </c>
      <c r="F977" t="s">
        <v>18</v>
      </c>
      <c r="G977" t="s">
        <v>111</v>
      </c>
      <c r="H977">
        <v>0</v>
      </c>
      <c r="I977">
        <v>10</v>
      </c>
      <c r="J977">
        <v>27160</v>
      </c>
      <c r="K977">
        <v>271600</v>
      </c>
      <c r="L977">
        <v>0</v>
      </c>
      <c r="M977">
        <v>271600</v>
      </c>
      <c r="N977" t="s">
        <v>689</v>
      </c>
      <c r="O977" t="s">
        <v>680</v>
      </c>
    </row>
    <row r="978" spans="1:15" x14ac:dyDescent="0.3">
      <c r="A978" t="str">
        <f t="shared" si="15"/>
        <v>WDWP000266-R000-LD</v>
      </c>
      <c r="B978" t="s">
        <v>14</v>
      </c>
      <c r="C978" t="s">
        <v>915</v>
      </c>
      <c r="D978" t="s">
        <v>234</v>
      </c>
      <c r="E978" t="s">
        <v>927</v>
      </c>
      <c r="F978" t="s">
        <v>18</v>
      </c>
      <c r="G978" t="s">
        <v>19</v>
      </c>
      <c r="H978">
        <v>0</v>
      </c>
      <c r="I978">
        <v>20</v>
      </c>
      <c r="J978">
        <v>27160</v>
      </c>
      <c r="K978">
        <v>543200</v>
      </c>
      <c r="L978">
        <v>0</v>
      </c>
      <c r="M978">
        <v>543200</v>
      </c>
      <c r="N978" t="s">
        <v>689</v>
      </c>
      <c r="O978" t="s">
        <v>680</v>
      </c>
    </row>
    <row r="979" spans="1:15" x14ac:dyDescent="0.3">
      <c r="A979" t="str">
        <f t="shared" si="15"/>
        <v>WDWP000266-R000-LL</v>
      </c>
      <c r="B979" t="s">
        <v>14</v>
      </c>
      <c r="C979" t="s">
        <v>915</v>
      </c>
      <c r="D979" t="s">
        <v>277</v>
      </c>
      <c r="E979" t="s">
        <v>928</v>
      </c>
      <c r="F979" t="s">
        <v>18</v>
      </c>
      <c r="G979" t="s">
        <v>35</v>
      </c>
      <c r="H979">
        <v>0</v>
      </c>
      <c r="I979">
        <v>3</v>
      </c>
      <c r="J979">
        <v>27490</v>
      </c>
      <c r="K979">
        <v>82470</v>
      </c>
      <c r="L979">
        <v>0</v>
      </c>
      <c r="M979">
        <v>82470</v>
      </c>
      <c r="N979" t="s">
        <v>689</v>
      </c>
      <c r="O979" t="s">
        <v>680</v>
      </c>
    </row>
    <row r="980" spans="1:15" x14ac:dyDescent="0.3">
      <c r="A980" t="str">
        <f t="shared" si="15"/>
        <v>WDWP000266-R000-LL</v>
      </c>
      <c r="B980" t="s">
        <v>14</v>
      </c>
      <c r="C980" t="s">
        <v>915</v>
      </c>
      <c r="D980" t="s">
        <v>277</v>
      </c>
      <c r="E980" t="s">
        <v>928</v>
      </c>
      <c r="F980" t="s">
        <v>18</v>
      </c>
      <c r="G980" t="s">
        <v>23</v>
      </c>
      <c r="H980">
        <v>0</v>
      </c>
      <c r="I980">
        <v>2</v>
      </c>
      <c r="J980">
        <v>26860</v>
      </c>
      <c r="K980">
        <v>53720</v>
      </c>
      <c r="L980">
        <v>0</v>
      </c>
      <c r="M980">
        <v>53720</v>
      </c>
      <c r="N980" t="s">
        <v>689</v>
      </c>
      <c r="O980" t="s">
        <v>680</v>
      </c>
    </row>
    <row r="981" spans="1:15" x14ac:dyDescent="0.3">
      <c r="A981" t="str">
        <f t="shared" si="15"/>
        <v>WDWP000266-R000-LT</v>
      </c>
      <c r="B981" t="s">
        <v>14</v>
      </c>
      <c r="C981" t="s">
        <v>915</v>
      </c>
      <c r="D981" t="s">
        <v>217</v>
      </c>
      <c r="E981" t="s">
        <v>735</v>
      </c>
      <c r="F981" t="s">
        <v>18</v>
      </c>
      <c r="G981" t="s">
        <v>35</v>
      </c>
      <c r="H981">
        <v>0</v>
      </c>
      <c r="I981">
        <v>200</v>
      </c>
      <c r="J981">
        <v>26020</v>
      </c>
      <c r="K981">
        <v>5204000</v>
      </c>
      <c r="L981">
        <v>0</v>
      </c>
      <c r="M981">
        <v>5204000</v>
      </c>
      <c r="N981" t="s">
        <v>736</v>
      </c>
      <c r="O981" t="s">
        <v>680</v>
      </c>
    </row>
    <row r="982" spans="1:15" x14ac:dyDescent="0.3">
      <c r="A982" t="str">
        <f t="shared" si="15"/>
        <v>WDWP000266-R000-LT</v>
      </c>
      <c r="B982" t="s">
        <v>14</v>
      </c>
      <c r="C982" t="s">
        <v>915</v>
      </c>
      <c r="D982" t="s">
        <v>217</v>
      </c>
      <c r="E982" t="s">
        <v>735</v>
      </c>
      <c r="F982" t="s">
        <v>18</v>
      </c>
      <c r="G982" t="s">
        <v>19</v>
      </c>
      <c r="H982">
        <v>0</v>
      </c>
      <c r="I982">
        <v>40</v>
      </c>
      <c r="J982">
        <v>26020</v>
      </c>
      <c r="K982">
        <v>1040800</v>
      </c>
      <c r="L982">
        <v>0</v>
      </c>
      <c r="M982">
        <v>1040800</v>
      </c>
      <c r="N982" t="s">
        <v>736</v>
      </c>
      <c r="O982" t="s">
        <v>680</v>
      </c>
    </row>
    <row r="983" spans="1:15" x14ac:dyDescent="0.3">
      <c r="A983" t="str">
        <f t="shared" si="15"/>
        <v>WDWP000266-R000-LUW</v>
      </c>
      <c r="B983" t="s">
        <v>14</v>
      </c>
      <c r="C983" t="s">
        <v>915</v>
      </c>
      <c r="D983" t="s">
        <v>759</v>
      </c>
      <c r="E983" t="s">
        <v>929</v>
      </c>
      <c r="F983" t="s">
        <v>18</v>
      </c>
      <c r="G983" t="s">
        <v>83</v>
      </c>
      <c r="H983">
        <v>0</v>
      </c>
      <c r="I983">
        <v>20</v>
      </c>
      <c r="J983">
        <v>25300</v>
      </c>
      <c r="K983">
        <v>506000</v>
      </c>
      <c r="L983">
        <v>0</v>
      </c>
      <c r="M983">
        <v>506000</v>
      </c>
      <c r="N983" t="s">
        <v>689</v>
      </c>
      <c r="O983" t="s">
        <v>680</v>
      </c>
    </row>
    <row r="984" spans="1:15" x14ac:dyDescent="0.3">
      <c r="A984" t="str">
        <f t="shared" si="15"/>
        <v>WDWP000266-R000-MAC</v>
      </c>
      <c r="B984" t="s">
        <v>14</v>
      </c>
      <c r="C984" t="s">
        <v>915</v>
      </c>
      <c r="D984" t="s">
        <v>869</v>
      </c>
      <c r="E984" t="s">
        <v>930</v>
      </c>
      <c r="F984" t="s">
        <v>18</v>
      </c>
      <c r="G984" t="s">
        <v>35</v>
      </c>
      <c r="H984">
        <v>0</v>
      </c>
      <c r="I984">
        <v>39</v>
      </c>
      <c r="J984">
        <v>26550</v>
      </c>
      <c r="K984">
        <v>1035450</v>
      </c>
      <c r="L984">
        <v>0</v>
      </c>
      <c r="M984">
        <v>1035450</v>
      </c>
      <c r="N984" t="s">
        <v>931</v>
      </c>
      <c r="O984" t="s">
        <v>680</v>
      </c>
    </row>
    <row r="985" spans="1:15" x14ac:dyDescent="0.3">
      <c r="A985" t="str">
        <f t="shared" si="15"/>
        <v>WDWP000266-R000-MAC</v>
      </c>
      <c r="B985" t="s">
        <v>14</v>
      </c>
      <c r="C985" t="s">
        <v>915</v>
      </c>
      <c r="D985" t="s">
        <v>869</v>
      </c>
      <c r="E985" t="s">
        <v>930</v>
      </c>
      <c r="F985" t="s">
        <v>18</v>
      </c>
      <c r="G985" t="s">
        <v>210</v>
      </c>
      <c r="H985">
        <v>0</v>
      </c>
      <c r="I985">
        <v>20</v>
      </c>
      <c r="J985">
        <v>26550</v>
      </c>
      <c r="K985">
        <v>531000</v>
      </c>
      <c r="L985">
        <v>0</v>
      </c>
      <c r="M985">
        <v>531000</v>
      </c>
      <c r="N985" t="s">
        <v>931</v>
      </c>
      <c r="O985" t="s">
        <v>680</v>
      </c>
    </row>
    <row r="986" spans="1:15" x14ac:dyDescent="0.3">
      <c r="A986" t="str">
        <f t="shared" si="15"/>
        <v>WDWP000266-R000-MAC</v>
      </c>
      <c r="B986" t="s">
        <v>14</v>
      </c>
      <c r="C986" t="s">
        <v>915</v>
      </c>
      <c r="D986" t="s">
        <v>869</v>
      </c>
      <c r="E986" t="s">
        <v>930</v>
      </c>
      <c r="F986" t="s">
        <v>18</v>
      </c>
      <c r="G986" t="s">
        <v>19</v>
      </c>
      <c r="H986">
        <v>0</v>
      </c>
      <c r="I986">
        <v>80</v>
      </c>
      <c r="J986">
        <v>26550</v>
      </c>
      <c r="K986">
        <v>2124000</v>
      </c>
      <c r="L986">
        <v>0</v>
      </c>
      <c r="M986">
        <v>2124000</v>
      </c>
      <c r="N986" t="s">
        <v>931</v>
      </c>
      <c r="O986" t="s">
        <v>680</v>
      </c>
    </row>
    <row r="987" spans="1:15" x14ac:dyDescent="0.3">
      <c r="A987" t="str">
        <f t="shared" si="15"/>
        <v>WDWP000266-R000-ML</v>
      </c>
      <c r="B987" t="s">
        <v>14</v>
      </c>
      <c r="C987" t="s">
        <v>915</v>
      </c>
      <c r="D987" t="s">
        <v>755</v>
      </c>
      <c r="E987" t="s">
        <v>932</v>
      </c>
      <c r="F987" t="s">
        <v>18</v>
      </c>
      <c r="G987" t="s">
        <v>210</v>
      </c>
      <c r="H987">
        <v>0</v>
      </c>
      <c r="I987">
        <v>40</v>
      </c>
      <c r="J987">
        <v>25540</v>
      </c>
      <c r="K987">
        <v>1021600</v>
      </c>
      <c r="L987">
        <v>0</v>
      </c>
      <c r="M987">
        <v>1021600</v>
      </c>
      <c r="N987" t="s">
        <v>933</v>
      </c>
      <c r="O987" t="s">
        <v>680</v>
      </c>
    </row>
    <row r="988" spans="1:15" x14ac:dyDescent="0.3">
      <c r="A988" t="str">
        <f t="shared" si="15"/>
        <v>WDWP000266-R000-ML</v>
      </c>
      <c r="B988" t="s">
        <v>14</v>
      </c>
      <c r="C988" t="s">
        <v>915</v>
      </c>
      <c r="D988" t="s">
        <v>755</v>
      </c>
      <c r="E988" t="s">
        <v>932</v>
      </c>
      <c r="F988" t="s">
        <v>18</v>
      </c>
      <c r="G988" t="s">
        <v>35</v>
      </c>
      <c r="H988">
        <v>0</v>
      </c>
      <c r="I988">
        <v>522</v>
      </c>
      <c r="J988">
        <v>25540</v>
      </c>
      <c r="K988">
        <v>13331880</v>
      </c>
      <c r="L988">
        <v>0</v>
      </c>
      <c r="M988">
        <v>13331880</v>
      </c>
      <c r="N988" t="s">
        <v>933</v>
      </c>
      <c r="O988" t="s">
        <v>680</v>
      </c>
    </row>
    <row r="989" spans="1:15" x14ac:dyDescent="0.3">
      <c r="A989" t="str">
        <f t="shared" si="15"/>
        <v>WDWP000266-R000-ML</v>
      </c>
      <c r="B989" t="s">
        <v>14</v>
      </c>
      <c r="C989" t="s">
        <v>915</v>
      </c>
      <c r="D989" t="s">
        <v>755</v>
      </c>
      <c r="E989" t="s">
        <v>932</v>
      </c>
      <c r="F989" t="s">
        <v>18</v>
      </c>
      <c r="G989" t="s">
        <v>19</v>
      </c>
      <c r="H989">
        <v>0</v>
      </c>
      <c r="I989">
        <v>40</v>
      </c>
      <c r="J989">
        <v>25540</v>
      </c>
      <c r="K989">
        <v>1021600</v>
      </c>
      <c r="L989">
        <v>0</v>
      </c>
      <c r="M989">
        <v>1021600</v>
      </c>
      <c r="N989" t="s">
        <v>933</v>
      </c>
      <c r="O989" t="s">
        <v>680</v>
      </c>
    </row>
    <row r="990" spans="1:15" x14ac:dyDescent="0.3">
      <c r="A990" t="str">
        <f t="shared" si="15"/>
        <v>WDWP000266-R000-NCC</v>
      </c>
      <c r="B990" t="s">
        <v>14</v>
      </c>
      <c r="C990" t="s">
        <v>915</v>
      </c>
      <c r="D990" t="s">
        <v>220</v>
      </c>
      <c r="E990" t="s">
        <v>935</v>
      </c>
      <c r="F990" t="s">
        <v>18</v>
      </c>
      <c r="G990" t="s">
        <v>174</v>
      </c>
      <c r="H990">
        <v>0</v>
      </c>
      <c r="I990">
        <v>-4</v>
      </c>
      <c r="J990">
        <v>25270</v>
      </c>
      <c r="K990">
        <v>-101080</v>
      </c>
      <c r="L990">
        <v>0</v>
      </c>
      <c r="M990">
        <v>-101080</v>
      </c>
      <c r="N990" t="s">
        <v>689</v>
      </c>
      <c r="O990" t="s">
        <v>680</v>
      </c>
    </row>
    <row r="991" spans="1:15" x14ac:dyDescent="0.3">
      <c r="A991" t="str">
        <f t="shared" si="15"/>
        <v>WDWP000266-R000-NCC</v>
      </c>
      <c r="B991" t="s">
        <v>14</v>
      </c>
      <c r="C991" t="s">
        <v>915</v>
      </c>
      <c r="D991" t="s">
        <v>220</v>
      </c>
      <c r="E991" t="s">
        <v>935</v>
      </c>
      <c r="F991" t="s">
        <v>18</v>
      </c>
      <c r="G991" t="s">
        <v>210</v>
      </c>
      <c r="H991">
        <v>0</v>
      </c>
      <c r="I991">
        <v>176</v>
      </c>
      <c r="J991">
        <v>25370</v>
      </c>
      <c r="K991">
        <v>4465120</v>
      </c>
      <c r="L991">
        <v>0</v>
      </c>
      <c r="M991">
        <v>4465120</v>
      </c>
      <c r="N991" t="s">
        <v>689</v>
      </c>
      <c r="O991" t="s">
        <v>680</v>
      </c>
    </row>
    <row r="992" spans="1:15" x14ac:dyDescent="0.3">
      <c r="A992" t="str">
        <f t="shared" si="15"/>
        <v>WDWP000266-R000-NCC</v>
      </c>
      <c r="B992" t="s">
        <v>14</v>
      </c>
      <c r="C992" t="s">
        <v>915</v>
      </c>
      <c r="D992" t="s">
        <v>220</v>
      </c>
      <c r="E992" t="s">
        <v>935</v>
      </c>
      <c r="F992" t="s">
        <v>18</v>
      </c>
      <c r="G992" t="s">
        <v>19</v>
      </c>
      <c r="H992">
        <v>0</v>
      </c>
      <c r="I992">
        <v>40</v>
      </c>
      <c r="J992">
        <v>25370</v>
      </c>
      <c r="K992">
        <v>1014800</v>
      </c>
      <c r="L992">
        <v>0</v>
      </c>
      <c r="M992">
        <v>1014800</v>
      </c>
      <c r="N992" t="s">
        <v>689</v>
      </c>
      <c r="O992" t="s">
        <v>680</v>
      </c>
    </row>
    <row r="993" spans="1:15" x14ac:dyDescent="0.3">
      <c r="A993" t="str">
        <f t="shared" si="15"/>
        <v>WDWP000266-R000-NK</v>
      </c>
      <c r="B993" t="s">
        <v>14</v>
      </c>
      <c r="C993" t="s">
        <v>915</v>
      </c>
      <c r="D993" t="s">
        <v>879</v>
      </c>
      <c r="E993" t="s">
        <v>936</v>
      </c>
      <c r="F993" t="s">
        <v>18</v>
      </c>
      <c r="G993" t="s">
        <v>49</v>
      </c>
      <c r="H993">
        <v>0</v>
      </c>
      <c r="I993">
        <v>20</v>
      </c>
      <c r="J993">
        <v>25770</v>
      </c>
      <c r="K993">
        <v>515400</v>
      </c>
      <c r="L993">
        <v>0</v>
      </c>
      <c r="M993">
        <v>515400</v>
      </c>
      <c r="N993" t="s">
        <v>851</v>
      </c>
      <c r="O993" t="s">
        <v>680</v>
      </c>
    </row>
    <row r="994" spans="1:15" x14ac:dyDescent="0.3">
      <c r="A994" t="str">
        <f t="shared" si="15"/>
        <v>WDWP000266-R000-NK</v>
      </c>
      <c r="B994" t="s">
        <v>14</v>
      </c>
      <c r="C994" t="s">
        <v>915</v>
      </c>
      <c r="D994" t="s">
        <v>879</v>
      </c>
      <c r="E994" t="s">
        <v>936</v>
      </c>
      <c r="F994" t="s">
        <v>18</v>
      </c>
      <c r="G994" t="s">
        <v>19</v>
      </c>
      <c r="H994">
        <v>0</v>
      </c>
      <c r="I994">
        <v>42</v>
      </c>
      <c r="J994">
        <v>25770</v>
      </c>
      <c r="K994">
        <v>1082340</v>
      </c>
      <c r="L994">
        <v>0</v>
      </c>
      <c r="M994">
        <v>1082340</v>
      </c>
      <c r="N994" t="s">
        <v>851</v>
      </c>
      <c r="O994" t="s">
        <v>680</v>
      </c>
    </row>
    <row r="995" spans="1:15" x14ac:dyDescent="0.3">
      <c r="A995" t="str">
        <f t="shared" si="15"/>
        <v>WDWP000266-R000-NK</v>
      </c>
      <c r="B995" t="s">
        <v>14</v>
      </c>
      <c r="C995" t="s">
        <v>915</v>
      </c>
      <c r="D995" t="s">
        <v>879</v>
      </c>
      <c r="E995" t="s">
        <v>936</v>
      </c>
      <c r="F995" t="s">
        <v>18</v>
      </c>
      <c r="G995" t="s">
        <v>210</v>
      </c>
      <c r="H995">
        <v>0</v>
      </c>
      <c r="I995">
        <v>102</v>
      </c>
      <c r="J995">
        <v>25770</v>
      </c>
      <c r="K995">
        <v>2628540</v>
      </c>
      <c r="L995">
        <v>0</v>
      </c>
      <c r="M995">
        <v>2628540</v>
      </c>
      <c r="N995" t="s">
        <v>851</v>
      </c>
      <c r="O995" t="s">
        <v>680</v>
      </c>
    </row>
    <row r="996" spans="1:15" x14ac:dyDescent="0.3">
      <c r="A996" t="str">
        <f t="shared" si="15"/>
        <v>WDWP000266-R000-NK</v>
      </c>
      <c r="B996" t="s">
        <v>14</v>
      </c>
      <c r="C996" t="s">
        <v>915</v>
      </c>
      <c r="D996" t="s">
        <v>879</v>
      </c>
      <c r="E996" t="s">
        <v>936</v>
      </c>
      <c r="F996" t="s">
        <v>18</v>
      </c>
      <c r="G996" t="s">
        <v>35</v>
      </c>
      <c r="H996">
        <v>0</v>
      </c>
      <c r="I996">
        <v>5</v>
      </c>
      <c r="J996">
        <v>26390</v>
      </c>
      <c r="K996">
        <v>131950</v>
      </c>
      <c r="L996">
        <v>0</v>
      </c>
      <c r="M996">
        <v>131950</v>
      </c>
      <c r="N996" t="s">
        <v>851</v>
      </c>
      <c r="O996" t="s">
        <v>680</v>
      </c>
    </row>
    <row r="997" spans="1:15" x14ac:dyDescent="0.3">
      <c r="A997" t="str">
        <f t="shared" si="15"/>
        <v>WDWP000266-R000-OCY</v>
      </c>
      <c r="B997" t="s">
        <v>14</v>
      </c>
      <c r="C997" t="s">
        <v>915</v>
      </c>
      <c r="D997" t="s">
        <v>250</v>
      </c>
      <c r="E997" t="s">
        <v>937</v>
      </c>
      <c r="F997" t="s">
        <v>18</v>
      </c>
      <c r="G997" t="s">
        <v>19</v>
      </c>
      <c r="H997">
        <v>0</v>
      </c>
      <c r="I997">
        <v>40</v>
      </c>
      <c r="J997">
        <v>26800</v>
      </c>
      <c r="K997">
        <v>1072000</v>
      </c>
      <c r="L997">
        <v>0</v>
      </c>
      <c r="M997">
        <v>1072000</v>
      </c>
      <c r="N997" t="s">
        <v>834</v>
      </c>
      <c r="O997" t="s">
        <v>680</v>
      </c>
    </row>
    <row r="998" spans="1:15" x14ac:dyDescent="0.3">
      <c r="A998" t="str">
        <f t="shared" si="15"/>
        <v>WDWP000266-R000-OCY</v>
      </c>
      <c r="B998" t="s">
        <v>14</v>
      </c>
      <c r="C998" t="s">
        <v>915</v>
      </c>
      <c r="D998" t="s">
        <v>250</v>
      </c>
      <c r="E998" t="s">
        <v>937</v>
      </c>
      <c r="F998" t="s">
        <v>18</v>
      </c>
      <c r="G998" t="s">
        <v>35</v>
      </c>
      <c r="H998">
        <v>0</v>
      </c>
      <c r="I998">
        <v>400</v>
      </c>
      <c r="J998">
        <v>26800</v>
      </c>
      <c r="K998">
        <v>10720000</v>
      </c>
      <c r="L998">
        <v>0</v>
      </c>
      <c r="M998">
        <v>10720000</v>
      </c>
      <c r="N998" t="s">
        <v>834</v>
      </c>
      <c r="O998" t="s">
        <v>680</v>
      </c>
    </row>
    <row r="999" spans="1:15" x14ac:dyDescent="0.3">
      <c r="A999" t="str">
        <f t="shared" si="15"/>
        <v>WDWP000266-R000-OCY</v>
      </c>
      <c r="B999" t="s">
        <v>14</v>
      </c>
      <c r="C999" t="s">
        <v>915</v>
      </c>
      <c r="D999" t="s">
        <v>250</v>
      </c>
      <c r="E999" t="s">
        <v>937</v>
      </c>
      <c r="F999" t="s">
        <v>18</v>
      </c>
      <c r="G999" t="s">
        <v>49</v>
      </c>
      <c r="H999">
        <v>0</v>
      </c>
      <c r="I999">
        <v>30</v>
      </c>
      <c r="J999">
        <v>26800</v>
      </c>
      <c r="K999">
        <v>804000</v>
      </c>
      <c r="L999">
        <v>0</v>
      </c>
      <c r="M999">
        <v>804000</v>
      </c>
      <c r="N999" t="s">
        <v>834</v>
      </c>
      <c r="O999" t="s">
        <v>680</v>
      </c>
    </row>
    <row r="1000" spans="1:15" x14ac:dyDescent="0.3">
      <c r="A1000" t="str">
        <f t="shared" si="15"/>
        <v>WDWP000266-R000-OS</v>
      </c>
      <c r="B1000" t="s">
        <v>14</v>
      </c>
      <c r="C1000" t="s">
        <v>915</v>
      </c>
      <c r="D1000" t="s">
        <v>264</v>
      </c>
      <c r="E1000" t="s">
        <v>693</v>
      </c>
      <c r="F1000" t="s">
        <v>18</v>
      </c>
      <c r="G1000" t="s">
        <v>83</v>
      </c>
      <c r="H1000">
        <v>0</v>
      </c>
      <c r="I1000">
        <v>25</v>
      </c>
      <c r="J1000">
        <v>25370</v>
      </c>
      <c r="K1000">
        <v>634250</v>
      </c>
      <c r="L1000">
        <v>0</v>
      </c>
      <c r="M1000">
        <v>634250</v>
      </c>
      <c r="N1000" t="s">
        <v>689</v>
      </c>
      <c r="O1000" t="s">
        <v>680</v>
      </c>
    </row>
    <row r="1001" spans="1:15" x14ac:dyDescent="0.3">
      <c r="A1001" t="str">
        <f t="shared" si="15"/>
        <v>WDWP000266-R000-OS</v>
      </c>
      <c r="B1001" t="s">
        <v>14</v>
      </c>
      <c r="C1001" t="s">
        <v>915</v>
      </c>
      <c r="D1001" t="s">
        <v>264</v>
      </c>
      <c r="E1001" t="s">
        <v>693</v>
      </c>
      <c r="F1001" t="s">
        <v>18</v>
      </c>
      <c r="G1001" t="s">
        <v>210</v>
      </c>
      <c r="H1001">
        <v>0</v>
      </c>
      <c r="I1001">
        <v>240</v>
      </c>
      <c r="J1001">
        <v>25370</v>
      </c>
      <c r="K1001">
        <v>6088800</v>
      </c>
      <c r="L1001">
        <v>0</v>
      </c>
      <c r="M1001">
        <v>6088800</v>
      </c>
      <c r="N1001" t="s">
        <v>689</v>
      </c>
      <c r="O1001" t="s">
        <v>680</v>
      </c>
    </row>
    <row r="1002" spans="1:15" x14ac:dyDescent="0.3">
      <c r="A1002" t="str">
        <f t="shared" si="15"/>
        <v>WDWP000266-R000-OS</v>
      </c>
      <c r="B1002" t="s">
        <v>14</v>
      </c>
      <c r="C1002" t="s">
        <v>915</v>
      </c>
      <c r="D1002" t="s">
        <v>264</v>
      </c>
      <c r="E1002" t="s">
        <v>693</v>
      </c>
      <c r="F1002" t="s">
        <v>18</v>
      </c>
      <c r="G1002" t="s">
        <v>111</v>
      </c>
      <c r="H1002">
        <v>0</v>
      </c>
      <c r="I1002">
        <v>95</v>
      </c>
      <c r="J1002">
        <v>25370</v>
      </c>
      <c r="K1002">
        <v>2410150</v>
      </c>
      <c r="L1002">
        <v>0</v>
      </c>
      <c r="M1002">
        <v>2410150</v>
      </c>
      <c r="N1002" t="s">
        <v>689</v>
      </c>
      <c r="O1002" t="s">
        <v>680</v>
      </c>
    </row>
    <row r="1003" spans="1:15" x14ac:dyDescent="0.3">
      <c r="A1003" t="str">
        <f t="shared" si="15"/>
        <v>WDWP000266-R000-OS</v>
      </c>
      <c r="B1003" t="s">
        <v>14</v>
      </c>
      <c r="C1003" t="s">
        <v>915</v>
      </c>
      <c r="D1003" t="s">
        <v>264</v>
      </c>
      <c r="E1003" t="s">
        <v>693</v>
      </c>
      <c r="F1003" t="s">
        <v>18</v>
      </c>
      <c r="G1003" t="s">
        <v>49</v>
      </c>
      <c r="H1003">
        <v>0</v>
      </c>
      <c r="I1003">
        <v>95</v>
      </c>
      <c r="J1003">
        <v>25370</v>
      </c>
      <c r="K1003">
        <v>2410150</v>
      </c>
      <c r="L1003">
        <v>0</v>
      </c>
      <c r="M1003">
        <v>2410150</v>
      </c>
      <c r="N1003" t="s">
        <v>689</v>
      </c>
      <c r="O1003" t="s">
        <v>680</v>
      </c>
    </row>
    <row r="1004" spans="1:15" x14ac:dyDescent="0.3">
      <c r="A1004" t="str">
        <f t="shared" si="15"/>
        <v>WDWP000266-R000-OS</v>
      </c>
      <c r="B1004" t="s">
        <v>14</v>
      </c>
      <c r="C1004" t="s">
        <v>915</v>
      </c>
      <c r="D1004" t="s">
        <v>264</v>
      </c>
      <c r="E1004" t="s">
        <v>693</v>
      </c>
      <c r="F1004" t="s">
        <v>18</v>
      </c>
      <c r="G1004" t="s">
        <v>246</v>
      </c>
      <c r="H1004">
        <v>0</v>
      </c>
      <c r="I1004">
        <v>120</v>
      </c>
      <c r="J1004">
        <v>25370</v>
      </c>
      <c r="K1004">
        <v>3044400</v>
      </c>
      <c r="L1004">
        <v>0</v>
      </c>
      <c r="M1004">
        <v>3044400</v>
      </c>
      <c r="N1004" t="s">
        <v>689</v>
      </c>
      <c r="O1004" t="s">
        <v>680</v>
      </c>
    </row>
    <row r="1005" spans="1:15" x14ac:dyDescent="0.3">
      <c r="A1005" t="str">
        <f t="shared" si="15"/>
        <v>WDWP000266-R000-OS</v>
      </c>
      <c r="B1005" t="s">
        <v>14</v>
      </c>
      <c r="C1005" t="s">
        <v>915</v>
      </c>
      <c r="D1005" t="s">
        <v>264</v>
      </c>
      <c r="E1005" t="s">
        <v>693</v>
      </c>
      <c r="F1005" t="s">
        <v>18</v>
      </c>
      <c r="G1005" t="s">
        <v>68</v>
      </c>
      <c r="H1005">
        <v>0</v>
      </c>
      <c r="I1005">
        <v>190</v>
      </c>
      <c r="J1005">
        <v>25370</v>
      </c>
      <c r="K1005">
        <v>4820300</v>
      </c>
      <c r="L1005">
        <v>0</v>
      </c>
      <c r="M1005">
        <v>4820300</v>
      </c>
      <c r="N1005" t="s">
        <v>689</v>
      </c>
      <c r="O1005" t="s">
        <v>680</v>
      </c>
    </row>
    <row r="1006" spans="1:15" x14ac:dyDescent="0.3">
      <c r="A1006" t="str">
        <f t="shared" si="15"/>
        <v>WDWP000266-R000-RCN</v>
      </c>
      <c r="B1006" t="s">
        <v>14</v>
      </c>
      <c r="C1006" t="s">
        <v>915</v>
      </c>
      <c r="D1006" t="s">
        <v>253</v>
      </c>
      <c r="E1006" t="s">
        <v>938</v>
      </c>
      <c r="F1006" t="s">
        <v>18</v>
      </c>
      <c r="G1006" t="s">
        <v>119</v>
      </c>
      <c r="H1006">
        <v>0</v>
      </c>
      <c r="I1006">
        <v>10</v>
      </c>
      <c r="J1006">
        <v>27190</v>
      </c>
      <c r="K1006">
        <v>271900</v>
      </c>
      <c r="L1006">
        <v>0</v>
      </c>
      <c r="M1006">
        <v>271900</v>
      </c>
      <c r="N1006" t="s">
        <v>834</v>
      </c>
      <c r="O1006" t="s">
        <v>680</v>
      </c>
    </row>
    <row r="1007" spans="1:15" x14ac:dyDescent="0.3">
      <c r="A1007" t="str">
        <f t="shared" si="15"/>
        <v>WDWP000266-R000-SE</v>
      </c>
      <c r="B1007" t="s">
        <v>14</v>
      </c>
      <c r="C1007" t="s">
        <v>915</v>
      </c>
      <c r="D1007" t="s">
        <v>1882</v>
      </c>
      <c r="E1007" t="s">
        <v>1906</v>
      </c>
      <c r="F1007" t="s">
        <v>18</v>
      </c>
      <c r="G1007" t="s">
        <v>35</v>
      </c>
      <c r="H1007">
        <v>0</v>
      </c>
      <c r="I1007">
        <v>1</v>
      </c>
      <c r="J1007">
        <v>25210</v>
      </c>
      <c r="K1007">
        <v>25210</v>
      </c>
      <c r="L1007">
        <v>0</v>
      </c>
      <c r="M1007">
        <v>25210</v>
      </c>
      <c r="N1007" t="s">
        <v>689</v>
      </c>
      <c r="O1007" t="s">
        <v>680</v>
      </c>
    </row>
    <row r="1008" spans="1:15" x14ac:dyDescent="0.3">
      <c r="A1008" t="str">
        <f t="shared" si="15"/>
        <v>WDWP000266-R000-SO</v>
      </c>
      <c r="B1008" t="s">
        <v>14</v>
      </c>
      <c r="C1008" t="s">
        <v>915</v>
      </c>
      <c r="D1008" t="s">
        <v>301</v>
      </c>
      <c r="E1008" t="s">
        <v>939</v>
      </c>
      <c r="F1008" t="s">
        <v>18</v>
      </c>
      <c r="G1008" t="s">
        <v>111</v>
      </c>
      <c r="H1008">
        <v>0</v>
      </c>
      <c r="I1008">
        <v>30</v>
      </c>
      <c r="J1008">
        <v>25770</v>
      </c>
      <c r="K1008">
        <v>773100</v>
      </c>
      <c r="L1008">
        <v>0</v>
      </c>
      <c r="M1008">
        <v>773100</v>
      </c>
      <c r="N1008" t="s">
        <v>834</v>
      </c>
      <c r="O1008" t="s">
        <v>680</v>
      </c>
    </row>
    <row r="1009" spans="1:15" x14ac:dyDescent="0.3">
      <c r="A1009" t="str">
        <f t="shared" si="15"/>
        <v>WDWP000266-R000-SO</v>
      </c>
      <c r="B1009" t="s">
        <v>14</v>
      </c>
      <c r="C1009" t="s">
        <v>915</v>
      </c>
      <c r="D1009" t="s">
        <v>301</v>
      </c>
      <c r="E1009" t="s">
        <v>939</v>
      </c>
      <c r="F1009" t="s">
        <v>18</v>
      </c>
      <c r="G1009" t="s">
        <v>35</v>
      </c>
      <c r="H1009">
        <v>0</v>
      </c>
      <c r="I1009">
        <v>790</v>
      </c>
      <c r="J1009">
        <v>25770</v>
      </c>
      <c r="K1009">
        <v>20358300</v>
      </c>
      <c r="L1009">
        <v>0</v>
      </c>
      <c r="M1009">
        <v>20358300</v>
      </c>
      <c r="N1009" t="s">
        <v>834</v>
      </c>
      <c r="O1009" t="s">
        <v>680</v>
      </c>
    </row>
    <row r="1010" spans="1:15" x14ac:dyDescent="0.3">
      <c r="A1010" t="str">
        <f t="shared" si="15"/>
        <v>WDWP000266-R000-SO</v>
      </c>
      <c r="B1010" t="s">
        <v>14</v>
      </c>
      <c r="C1010" t="s">
        <v>915</v>
      </c>
      <c r="D1010" t="s">
        <v>301</v>
      </c>
      <c r="E1010" t="s">
        <v>939</v>
      </c>
      <c r="F1010" t="s">
        <v>18</v>
      </c>
      <c r="G1010" t="s">
        <v>19</v>
      </c>
      <c r="H1010">
        <v>0</v>
      </c>
      <c r="I1010">
        <v>1277</v>
      </c>
      <c r="J1010">
        <v>25770</v>
      </c>
      <c r="K1010">
        <v>32908290</v>
      </c>
      <c r="L1010">
        <v>0</v>
      </c>
      <c r="M1010">
        <v>32908290</v>
      </c>
      <c r="N1010" t="s">
        <v>834</v>
      </c>
      <c r="O1010" t="s">
        <v>680</v>
      </c>
    </row>
    <row r="1011" spans="1:15" x14ac:dyDescent="0.3">
      <c r="A1011" t="str">
        <f t="shared" si="15"/>
        <v>WDWP000266-R000-SO</v>
      </c>
      <c r="B1011" t="s">
        <v>14</v>
      </c>
      <c r="C1011" t="s">
        <v>915</v>
      </c>
      <c r="D1011" t="s">
        <v>301</v>
      </c>
      <c r="E1011" t="s">
        <v>939</v>
      </c>
      <c r="F1011" t="s">
        <v>18</v>
      </c>
      <c r="G1011" t="s">
        <v>246</v>
      </c>
      <c r="H1011">
        <v>0</v>
      </c>
      <c r="I1011">
        <v>160</v>
      </c>
      <c r="J1011">
        <v>25770</v>
      </c>
      <c r="K1011">
        <v>4123200</v>
      </c>
      <c r="L1011">
        <v>0</v>
      </c>
      <c r="M1011">
        <v>4123200</v>
      </c>
      <c r="N1011" t="s">
        <v>834</v>
      </c>
      <c r="O1011" t="s">
        <v>680</v>
      </c>
    </row>
    <row r="1012" spans="1:15" x14ac:dyDescent="0.3">
      <c r="A1012" t="str">
        <f t="shared" si="15"/>
        <v>WDWP000266-R000-SP</v>
      </c>
      <c r="B1012" t="s">
        <v>14</v>
      </c>
      <c r="C1012" t="s">
        <v>915</v>
      </c>
      <c r="D1012" t="s">
        <v>201</v>
      </c>
      <c r="E1012" t="s">
        <v>940</v>
      </c>
      <c r="F1012" t="s">
        <v>18</v>
      </c>
      <c r="G1012" t="s">
        <v>68</v>
      </c>
      <c r="H1012">
        <v>0</v>
      </c>
      <c r="I1012">
        <v>336</v>
      </c>
      <c r="J1012">
        <v>25970</v>
      </c>
      <c r="K1012">
        <v>8725920</v>
      </c>
      <c r="L1012">
        <v>0</v>
      </c>
      <c r="M1012">
        <v>8725920</v>
      </c>
      <c r="N1012" t="s">
        <v>834</v>
      </c>
      <c r="O1012" t="s">
        <v>680</v>
      </c>
    </row>
    <row r="1013" spans="1:15" x14ac:dyDescent="0.3">
      <c r="A1013" t="str">
        <f t="shared" si="15"/>
        <v>WDWP000266-R000-SP</v>
      </c>
      <c r="B1013" t="s">
        <v>14</v>
      </c>
      <c r="C1013" t="s">
        <v>915</v>
      </c>
      <c r="D1013" t="s">
        <v>201</v>
      </c>
      <c r="E1013" t="s">
        <v>940</v>
      </c>
      <c r="F1013" t="s">
        <v>18</v>
      </c>
      <c r="G1013" t="s">
        <v>246</v>
      </c>
      <c r="H1013">
        <v>0</v>
      </c>
      <c r="I1013">
        <v>360</v>
      </c>
      <c r="J1013">
        <v>25970</v>
      </c>
      <c r="K1013">
        <v>9349200</v>
      </c>
      <c r="L1013">
        <v>0</v>
      </c>
      <c r="M1013">
        <v>9349200</v>
      </c>
      <c r="N1013" t="s">
        <v>834</v>
      </c>
      <c r="O1013" t="s">
        <v>680</v>
      </c>
    </row>
    <row r="1014" spans="1:15" x14ac:dyDescent="0.3">
      <c r="A1014" t="str">
        <f t="shared" si="15"/>
        <v>WDWP000266-R000-SP</v>
      </c>
      <c r="B1014" t="s">
        <v>14</v>
      </c>
      <c r="C1014" t="s">
        <v>915</v>
      </c>
      <c r="D1014" t="s">
        <v>201</v>
      </c>
      <c r="E1014" t="s">
        <v>940</v>
      </c>
      <c r="F1014" t="s">
        <v>18</v>
      </c>
      <c r="G1014" t="s">
        <v>49</v>
      </c>
      <c r="H1014">
        <v>0</v>
      </c>
      <c r="I1014">
        <v>35</v>
      </c>
      <c r="J1014">
        <v>25970</v>
      </c>
      <c r="K1014">
        <v>908950</v>
      </c>
      <c r="L1014">
        <v>0</v>
      </c>
      <c r="M1014">
        <v>908950</v>
      </c>
      <c r="N1014" t="s">
        <v>834</v>
      </c>
      <c r="O1014" t="s">
        <v>680</v>
      </c>
    </row>
    <row r="1015" spans="1:15" x14ac:dyDescent="0.3">
      <c r="A1015" t="str">
        <f t="shared" si="15"/>
        <v>WDWP000266-R000-SP</v>
      </c>
      <c r="B1015" t="s">
        <v>14</v>
      </c>
      <c r="C1015" t="s">
        <v>915</v>
      </c>
      <c r="D1015" t="s">
        <v>201</v>
      </c>
      <c r="E1015" t="s">
        <v>940</v>
      </c>
      <c r="F1015" t="s">
        <v>18</v>
      </c>
      <c r="G1015" t="s">
        <v>19</v>
      </c>
      <c r="H1015">
        <v>0</v>
      </c>
      <c r="I1015">
        <v>320</v>
      </c>
      <c r="J1015">
        <v>25970</v>
      </c>
      <c r="K1015">
        <v>8310400</v>
      </c>
      <c r="L1015">
        <v>0</v>
      </c>
      <c r="M1015">
        <v>8310400</v>
      </c>
      <c r="N1015" t="s">
        <v>834</v>
      </c>
      <c r="O1015" t="s">
        <v>680</v>
      </c>
    </row>
    <row r="1016" spans="1:15" x14ac:dyDescent="0.3">
      <c r="A1016" t="str">
        <f t="shared" si="15"/>
        <v>WDWP000266-R000-SP</v>
      </c>
      <c r="B1016" t="s">
        <v>14</v>
      </c>
      <c r="C1016" t="s">
        <v>915</v>
      </c>
      <c r="D1016" t="s">
        <v>201</v>
      </c>
      <c r="E1016" t="s">
        <v>940</v>
      </c>
      <c r="F1016" t="s">
        <v>18</v>
      </c>
      <c r="G1016" t="s">
        <v>63</v>
      </c>
      <c r="H1016">
        <v>0</v>
      </c>
      <c r="I1016">
        <v>30</v>
      </c>
      <c r="J1016">
        <v>25970</v>
      </c>
      <c r="K1016">
        <v>779100</v>
      </c>
      <c r="L1016">
        <v>0</v>
      </c>
      <c r="M1016">
        <v>779100</v>
      </c>
      <c r="N1016" t="s">
        <v>834</v>
      </c>
      <c r="O1016" t="s">
        <v>680</v>
      </c>
    </row>
    <row r="1017" spans="1:15" x14ac:dyDescent="0.3">
      <c r="A1017" t="str">
        <f t="shared" si="15"/>
        <v>WDWP000266-R000-SP</v>
      </c>
      <c r="B1017" t="s">
        <v>14</v>
      </c>
      <c r="C1017" t="s">
        <v>915</v>
      </c>
      <c r="D1017" t="s">
        <v>201</v>
      </c>
      <c r="E1017" t="s">
        <v>940</v>
      </c>
      <c r="F1017" t="s">
        <v>18</v>
      </c>
      <c r="G1017" t="s">
        <v>111</v>
      </c>
      <c r="H1017">
        <v>0</v>
      </c>
      <c r="I1017">
        <v>270</v>
      </c>
      <c r="J1017">
        <v>25970</v>
      </c>
      <c r="K1017">
        <v>7011900</v>
      </c>
      <c r="L1017">
        <v>0</v>
      </c>
      <c r="M1017">
        <v>7011900</v>
      </c>
      <c r="N1017" t="s">
        <v>834</v>
      </c>
      <c r="O1017" t="s">
        <v>680</v>
      </c>
    </row>
    <row r="1018" spans="1:15" x14ac:dyDescent="0.3">
      <c r="A1018" t="str">
        <f t="shared" si="15"/>
        <v>WDWP000266-R000-SP</v>
      </c>
      <c r="B1018" t="s">
        <v>14</v>
      </c>
      <c r="C1018" t="s">
        <v>915</v>
      </c>
      <c r="D1018" t="s">
        <v>201</v>
      </c>
      <c r="E1018" t="s">
        <v>940</v>
      </c>
      <c r="F1018" t="s">
        <v>18</v>
      </c>
      <c r="G1018" t="s">
        <v>26</v>
      </c>
      <c r="H1018">
        <v>0</v>
      </c>
      <c r="I1018">
        <v>183</v>
      </c>
      <c r="J1018">
        <v>25970</v>
      </c>
      <c r="K1018">
        <v>4752510</v>
      </c>
      <c r="L1018">
        <v>0</v>
      </c>
      <c r="M1018">
        <v>4752510</v>
      </c>
      <c r="N1018" t="s">
        <v>834</v>
      </c>
      <c r="O1018" t="s">
        <v>680</v>
      </c>
    </row>
    <row r="1019" spans="1:15" x14ac:dyDescent="0.3">
      <c r="A1019" t="str">
        <f t="shared" si="15"/>
        <v>WDWP000266-R000-SP</v>
      </c>
      <c r="B1019" t="s">
        <v>14</v>
      </c>
      <c r="C1019" t="s">
        <v>915</v>
      </c>
      <c r="D1019" t="s">
        <v>201</v>
      </c>
      <c r="E1019" t="s">
        <v>940</v>
      </c>
      <c r="F1019" t="s">
        <v>18</v>
      </c>
      <c r="G1019" t="s">
        <v>83</v>
      </c>
      <c r="H1019">
        <v>0</v>
      </c>
      <c r="I1019">
        <v>250</v>
      </c>
      <c r="J1019">
        <v>25970</v>
      </c>
      <c r="K1019">
        <v>6492500</v>
      </c>
      <c r="L1019">
        <v>0</v>
      </c>
      <c r="M1019">
        <v>6492500</v>
      </c>
      <c r="N1019" t="s">
        <v>834</v>
      </c>
      <c r="O1019" t="s">
        <v>680</v>
      </c>
    </row>
    <row r="1020" spans="1:15" x14ac:dyDescent="0.3">
      <c r="A1020" t="str">
        <f t="shared" si="15"/>
        <v>WDWP000266-R000-SP</v>
      </c>
      <c r="B1020" t="s">
        <v>14</v>
      </c>
      <c r="C1020" t="s">
        <v>915</v>
      </c>
      <c r="D1020" t="s">
        <v>201</v>
      </c>
      <c r="E1020" t="s">
        <v>940</v>
      </c>
      <c r="F1020" t="s">
        <v>18</v>
      </c>
      <c r="G1020" t="s">
        <v>35</v>
      </c>
      <c r="H1020">
        <v>0</v>
      </c>
      <c r="I1020">
        <v>360</v>
      </c>
      <c r="J1020">
        <v>25970</v>
      </c>
      <c r="K1020">
        <v>9349200</v>
      </c>
      <c r="L1020">
        <v>0</v>
      </c>
      <c r="M1020">
        <v>9349200</v>
      </c>
      <c r="N1020" t="s">
        <v>834</v>
      </c>
      <c r="O1020" t="s">
        <v>680</v>
      </c>
    </row>
    <row r="1021" spans="1:15" x14ac:dyDescent="0.3">
      <c r="A1021" t="str">
        <f t="shared" si="15"/>
        <v>WDWP000266-R000-SP</v>
      </c>
      <c r="B1021" t="s">
        <v>14</v>
      </c>
      <c r="C1021" t="s">
        <v>915</v>
      </c>
      <c r="D1021" t="s">
        <v>201</v>
      </c>
      <c r="E1021" t="s">
        <v>940</v>
      </c>
      <c r="F1021" t="s">
        <v>18</v>
      </c>
      <c r="G1021" t="s">
        <v>23</v>
      </c>
      <c r="H1021">
        <v>0</v>
      </c>
      <c r="I1021">
        <v>120</v>
      </c>
      <c r="J1021">
        <v>25970</v>
      </c>
      <c r="K1021">
        <v>3116400</v>
      </c>
      <c r="L1021">
        <v>0</v>
      </c>
      <c r="M1021">
        <v>3116400</v>
      </c>
      <c r="N1021" t="s">
        <v>834</v>
      </c>
      <c r="O1021" t="s">
        <v>680</v>
      </c>
    </row>
    <row r="1022" spans="1:15" x14ac:dyDescent="0.3">
      <c r="A1022" t="str">
        <f t="shared" si="15"/>
        <v>WDWP000266-R000-SP</v>
      </c>
      <c r="B1022" t="s">
        <v>14</v>
      </c>
      <c r="C1022" t="s">
        <v>915</v>
      </c>
      <c r="D1022" t="s">
        <v>201</v>
      </c>
      <c r="E1022" t="s">
        <v>940</v>
      </c>
      <c r="F1022" t="s">
        <v>18</v>
      </c>
      <c r="G1022" t="s">
        <v>174</v>
      </c>
      <c r="H1022">
        <v>0</v>
      </c>
      <c r="I1022">
        <v>50</v>
      </c>
      <c r="J1022">
        <v>25970</v>
      </c>
      <c r="K1022">
        <v>1298500</v>
      </c>
      <c r="L1022">
        <v>0</v>
      </c>
      <c r="M1022">
        <v>1298500</v>
      </c>
      <c r="N1022" t="s">
        <v>834</v>
      </c>
      <c r="O1022" t="s">
        <v>680</v>
      </c>
    </row>
    <row r="1023" spans="1:15" x14ac:dyDescent="0.3">
      <c r="A1023" t="str">
        <f t="shared" si="15"/>
        <v>WDWP000266-R000-SP</v>
      </c>
      <c r="B1023" t="s">
        <v>14</v>
      </c>
      <c r="C1023" t="s">
        <v>915</v>
      </c>
      <c r="D1023" t="s">
        <v>201</v>
      </c>
      <c r="E1023" t="s">
        <v>940</v>
      </c>
      <c r="F1023" t="s">
        <v>18</v>
      </c>
      <c r="G1023" t="s">
        <v>210</v>
      </c>
      <c r="H1023">
        <v>0</v>
      </c>
      <c r="I1023">
        <v>240</v>
      </c>
      <c r="J1023">
        <v>25970</v>
      </c>
      <c r="K1023">
        <v>6232800</v>
      </c>
      <c r="L1023">
        <v>0</v>
      </c>
      <c r="M1023">
        <v>6232800</v>
      </c>
      <c r="N1023" t="s">
        <v>834</v>
      </c>
      <c r="O1023" t="s">
        <v>680</v>
      </c>
    </row>
    <row r="1024" spans="1:15" x14ac:dyDescent="0.3">
      <c r="A1024" t="str">
        <f t="shared" si="15"/>
        <v>WDWP000266-R000-UA</v>
      </c>
      <c r="B1024" t="s">
        <v>14</v>
      </c>
      <c r="C1024" t="s">
        <v>915</v>
      </c>
      <c r="D1024" t="s">
        <v>59</v>
      </c>
      <c r="E1024" t="s">
        <v>941</v>
      </c>
      <c r="F1024" t="s">
        <v>18</v>
      </c>
      <c r="G1024" t="s">
        <v>35</v>
      </c>
      <c r="H1024">
        <v>0</v>
      </c>
      <c r="I1024">
        <v>30</v>
      </c>
      <c r="J1024">
        <v>25430</v>
      </c>
      <c r="K1024">
        <v>762900</v>
      </c>
      <c r="L1024">
        <v>0</v>
      </c>
      <c r="M1024">
        <v>762900</v>
      </c>
      <c r="N1024" t="s">
        <v>736</v>
      </c>
      <c r="O1024" t="s">
        <v>680</v>
      </c>
    </row>
    <row r="1025" spans="1:15" x14ac:dyDescent="0.3">
      <c r="A1025" t="str">
        <f t="shared" si="15"/>
        <v>WDWP000266-R000-UA</v>
      </c>
      <c r="B1025" t="s">
        <v>14</v>
      </c>
      <c r="C1025" t="s">
        <v>915</v>
      </c>
      <c r="D1025" t="s">
        <v>59</v>
      </c>
      <c r="E1025" t="s">
        <v>941</v>
      </c>
      <c r="F1025" t="s">
        <v>18</v>
      </c>
      <c r="G1025" t="s">
        <v>23</v>
      </c>
      <c r="H1025">
        <v>0</v>
      </c>
      <c r="I1025">
        <v>60</v>
      </c>
      <c r="J1025">
        <v>25430</v>
      </c>
      <c r="K1025">
        <v>1525800</v>
      </c>
      <c r="L1025">
        <v>0</v>
      </c>
      <c r="M1025">
        <v>1525800</v>
      </c>
      <c r="N1025" t="s">
        <v>736</v>
      </c>
      <c r="O1025" t="s">
        <v>680</v>
      </c>
    </row>
    <row r="1026" spans="1:15" x14ac:dyDescent="0.3">
      <c r="A1026" t="str">
        <f t="shared" si="15"/>
        <v>WDWP000266-R000-WW</v>
      </c>
      <c r="B1026" t="s">
        <v>14</v>
      </c>
      <c r="C1026" t="s">
        <v>915</v>
      </c>
      <c r="D1026" t="s">
        <v>28</v>
      </c>
      <c r="E1026" t="s">
        <v>942</v>
      </c>
      <c r="F1026" t="s">
        <v>18</v>
      </c>
      <c r="G1026" t="s">
        <v>19</v>
      </c>
      <c r="H1026">
        <v>0</v>
      </c>
      <c r="I1026">
        <v>560</v>
      </c>
      <c r="J1026">
        <v>24060</v>
      </c>
      <c r="K1026">
        <v>13473600</v>
      </c>
      <c r="L1026">
        <v>0</v>
      </c>
      <c r="M1026">
        <v>13473600</v>
      </c>
      <c r="N1026" t="s">
        <v>744</v>
      </c>
      <c r="O1026" t="s">
        <v>680</v>
      </c>
    </row>
    <row r="1027" spans="1:15" x14ac:dyDescent="0.3">
      <c r="A1027" t="str">
        <f t="shared" ref="A1027:A1090" si="16">C1027&amp;"-"&amp;D1027</f>
        <v>WDWP000266-R000-WW</v>
      </c>
      <c r="B1027" t="s">
        <v>14</v>
      </c>
      <c r="C1027" t="s">
        <v>915</v>
      </c>
      <c r="D1027" t="s">
        <v>28</v>
      </c>
      <c r="E1027" t="s">
        <v>942</v>
      </c>
      <c r="F1027" t="s">
        <v>18</v>
      </c>
      <c r="G1027" t="s">
        <v>26</v>
      </c>
      <c r="H1027">
        <v>0</v>
      </c>
      <c r="I1027">
        <v>2</v>
      </c>
      <c r="J1027">
        <v>24680</v>
      </c>
      <c r="K1027">
        <v>49360</v>
      </c>
      <c r="L1027">
        <v>0</v>
      </c>
      <c r="M1027">
        <v>49360</v>
      </c>
      <c r="N1027" t="s">
        <v>744</v>
      </c>
      <c r="O1027" t="s">
        <v>680</v>
      </c>
    </row>
    <row r="1028" spans="1:15" x14ac:dyDescent="0.3">
      <c r="A1028" t="str">
        <f t="shared" si="16"/>
        <v>WDWP000266-R000-WW</v>
      </c>
      <c r="B1028" t="s">
        <v>14</v>
      </c>
      <c r="C1028" t="s">
        <v>915</v>
      </c>
      <c r="D1028" t="s">
        <v>28</v>
      </c>
      <c r="E1028" t="s">
        <v>942</v>
      </c>
      <c r="F1028" t="s">
        <v>18</v>
      </c>
      <c r="G1028" t="s">
        <v>68</v>
      </c>
      <c r="H1028">
        <v>0</v>
      </c>
      <c r="I1028">
        <v>61</v>
      </c>
      <c r="J1028">
        <v>24060</v>
      </c>
      <c r="K1028">
        <v>1467660</v>
      </c>
      <c r="L1028">
        <v>0</v>
      </c>
      <c r="M1028">
        <v>1467660</v>
      </c>
      <c r="N1028" t="s">
        <v>744</v>
      </c>
      <c r="O1028" t="s">
        <v>680</v>
      </c>
    </row>
    <row r="1029" spans="1:15" x14ac:dyDescent="0.3">
      <c r="A1029" t="str">
        <f t="shared" si="16"/>
        <v>WDWP000266-R000-WW</v>
      </c>
      <c r="B1029" t="s">
        <v>14</v>
      </c>
      <c r="C1029" t="s">
        <v>915</v>
      </c>
      <c r="D1029" t="s">
        <v>28</v>
      </c>
      <c r="E1029" t="s">
        <v>942</v>
      </c>
      <c r="F1029" t="s">
        <v>18</v>
      </c>
      <c r="G1029" t="s">
        <v>284</v>
      </c>
      <c r="H1029">
        <v>0</v>
      </c>
      <c r="I1029">
        <v>40</v>
      </c>
      <c r="J1029">
        <v>24060</v>
      </c>
      <c r="K1029">
        <v>962400</v>
      </c>
      <c r="L1029">
        <v>0</v>
      </c>
      <c r="M1029">
        <v>962400</v>
      </c>
      <c r="N1029" t="s">
        <v>744</v>
      </c>
      <c r="O1029" t="s">
        <v>680</v>
      </c>
    </row>
    <row r="1030" spans="1:15" x14ac:dyDescent="0.3">
      <c r="A1030" t="str">
        <f t="shared" si="16"/>
        <v>WDWP000266-R000-WW</v>
      </c>
      <c r="B1030" t="s">
        <v>14</v>
      </c>
      <c r="C1030" t="s">
        <v>915</v>
      </c>
      <c r="D1030" t="s">
        <v>28</v>
      </c>
      <c r="E1030" t="s">
        <v>942</v>
      </c>
      <c r="F1030" t="s">
        <v>18</v>
      </c>
      <c r="G1030" t="s">
        <v>49</v>
      </c>
      <c r="H1030">
        <v>0</v>
      </c>
      <c r="I1030">
        <v>260</v>
      </c>
      <c r="J1030">
        <v>24060</v>
      </c>
      <c r="K1030">
        <v>6255600</v>
      </c>
      <c r="L1030">
        <v>0</v>
      </c>
      <c r="M1030">
        <v>6255600</v>
      </c>
      <c r="N1030" t="s">
        <v>744</v>
      </c>
      <c r="O1030" t="s">
        <v>680</v>
      </c>
    </row>
    <row r="1031" spans="1:15" x14ac:dyDescent="0.3">
      <c r="A1031" t="str">
        <f t="shared" si="16"/>
        <v>WDWP000266-R000-WW</v>
      </c>
      <c r="B1031" t="s">
        <v>14</v>
      </c>
      <c r="C1031" t="s">
        <v>915</v>
      </c>
      <c r="D1031" t="s">
        <v>28</v>
      </c>
      <c r="E1031" t="s">
        <v>942</v>
      </c>
      <c r="F1031" t="s">
        <v>18</v>
      </c>
      <c r="G1031" t="s">
        <v>23</v>
      </c>
      <c r="H1031">
        <v>0</v>
      </c>
      <c r="I1031">
        <v>240</v>
      </c>
      <c r="J1031">
        <v>24060</v>
      </c>
      <c r="K1031">
        <v>5774400</v>
      </c>
      <c r="L1031">
        <v>0</v>
      </c>
      <c r="M1031">
        <v>5774400</v>
      </c>
      <c r="N1031" t="s">
        <v>744</v>
      </c>
      <c r="O1031" t="s">
        <v>680</v>
      </c>
    </row>
    <row r="1032" spans="1:15" x14ac:dyDescent="0.3">
      <c r="A1032" t="str">
        <f t="shared" si="16"/>
        <v>WDWP000266-R000-WW</v>
      </c>
      <c r="B1032" t="s">
        <v>14</v>
      </c>
      <c r="C1032" t="s">
        <v>915</v>
      </c>
      <c r="D1032" t="s">
        <v>28</v>
      </c>
      <c r="E1032" t="s">
        <v>942</v>
      </c>
      <c r="F1032" t="s">
        <v>18</v>
      </c>
      <c r="G1032" t="s">
        <v>119</v>
      </c>
      <c r="H1032">
        <v>0</v>
      </c>
      <c r="I1032">
        <v>30</v>
      </c>
      <c r="J1032">
        <v>24680</v>
      </c>
      <c r="K1032">
        <v>740400</v>
      </c>
      <c r="L1032">
        <v>0</v>
      </c>
      <c r="M1032">
        <v>740400</v>
      </c>
      <c r="N1032" t="s">
        <v>744</v>
      </c>
      <c r="O1032" t="s">
        <v>680</v>
      </c>
    </row>
    <row r="1033" spans="1:15" x14ac:dyDescent="0.3">
      <c r="A1033" t="str">
        <f t="shared" si="16"/>
        <v>WDWP000266-R000-WW</v>
      </c>
      <c r="B1033" t="s">
        <v>14</v>
      </c>
      <c r="C1033" t="s">
        <v>915</v>
      </c>
      <c r="D1033" t="s">
        <v>28</v>
      </c>
      <c r="E1033" t="s">
        <v>942</v>
      </c>
      <c r="F1033" t="s">
        <v>18</v>
      </c>
      <c r="G1033" t="s">
        <v>1855</v>
      </c>
      <c r="H1033">
        <v>0</v>
      </c>
      <c r="I1033">
        <v>1</v>
      </c>
      <c r="J1033">
        <v>24060</v>
      </c>
      <c r="K1033">
        <v>24060</v>
      </c>
      <c r="L1033">
        <v>0</v>
      </c>
      <c r="M1033">
        <v>24060</v>
      </c>
      <c r="N1033" t="s">
        <v>744</v>
      </c>
      <c r="O1033" t="s">
        <v>680</v>
      </c>
    </row>
    <row r="1034" spans="1:15" x14ac:dyDescent="0.3">
      <c r="A1034" t="str">
        <f t="shared" si="16"/>
        <v>WDWP000266-R000-WW</v>
      </c>
      <c r="B1034" t="s">
        <v>14</v>
      </c>
      <c r="C1034" t="s">
        <v>915</v>
      </c>
      <c r="D1034" t="s">
        <v>28</v>
      </c>
      <c r="E1034" t="s">
        <v>942</v>
      </c>
      <c r="F1034" t="s">
        <v>18</v>
      </c>
      <c r="G1034" t="s">
        <v>83</v>
      </c>
      <c r="H1034">
        <v>0</v>
      </c>
      <c r="I1034">
        <v>80</v>
      </c>
      <c r="J1034">
        <v>24060</v>
      </c>
      <c r="K1034">
        <v>1924800</v>
      </c>
      <c r="L1034">
        <v>0</v>
      </c>
      <c r="M1034">
        <v>1924800</v>
      </c>
      <c r="N1034" t="s">
        <v>744</v>
      </c>
      <c r="O1034" t="s">
        <v>680</v>
      </c>
    </row>
    <row r="1035" spans="1:15" x14ac:dyDescent="0.3">
      <c r="A1035" t="str">
        <f t="shared" si="16"/>
        <v>WDWP000266-R000-WW</v>
      </c>
      <c r="B1035" t="s">
        <v>14</v>
      </c>
      <c r="C1035" t="s">
        <v>915</v>
      </c>
      <c r="D1035" t="s">
        <v>28</v>
      </c>
      <c r="E1035" t="s">
        <v>942</v>
      </c>
      <c r="F1035" t="s">
        <v>18</v>
      </c>
      <c r="G1035" t="s">
        <v>210</v>
      </c>
      <c r="H1035">
        <v>0</v>
      </c>
      <c r="I1035">
        <v>2100</v>
      </c>
      <c r="J1035">
        <v>24060</v>
      </c>
      <c r="K1035">
        <v>50526000</v>
      </c>
      <c r="L1035">
        <v>0</v>
      </c>
      <c r="M1035">
        <v>50526000</v>
      </c>
      <c r="N1035" t="s">
        <v>744</v>
      </c>
      <c r="O1035" t="s">
        <v>680</v>
      </c>
    </row>
    <row r="1036" spans="1:15" x14ac:dyDescent="0.3">
      <c r="A1036" t="str">
        <f t="shared" si="16"/>
        <v>WDWP000266-R000-WW</v>
      </c>
      <c r="B1036" t="s">
        <v>14</v>
      </c>
      <c r="C1036" t="s">
        <v>915</v>
      </c>
      <c r="D1036" t="s">
        <v>28</v>
      </c>
      <c r="E1036" t="s">
        <v>942</v>
      </c>
      <c r="F1036" t="s">
        <v>18</v>
      </c>
      <c r="G1036" t="s">
        <v>35</v>
      </c>
      <c r="H1036">
        <v>0</v>
      </c>
      <c r="I1036">
        <v>2120</v>
      </c>
      <c r="J1036">
        <v>24060</v>
      </c>
      <c r="K1036">
        <v>51007200</v>
      </c>
      <c r="L1036">
        <v>0</v>
      </c>
      <c r="M1036">
        <v>51007200</v>
      </c>
      <c r="N1036" t="s">
        <v>744</v>
      </c>
      <c r="O1036" t="s">
        <v>680</v>
      </c>
    </row>
    <row r="1037" spans="1:15" x14ac:dyDescent="0.3">
      <c r="A1037" t="str">
        <f t="shared" si="16"/>
        <v>WDWP000267-R000-KAP</v>
      </c>
      <c r="B1037" t="s">
        <v>14</v>
      </c>
      <c r="C1037" t="s">
        <v>943</v>
      </c>
      <c r="D1037" t="s">
        <v>261</v>
      </c>
      <c r="E1037" t="s">
        <v>944</v>
      </c>
      <c r="F1037" t="s">
        <v>18</v>
      </c>
      <c r="G1037" t="s">
        <v>239</v>
      </c>
      <c r="H1037">
        <v>0</v>
      </c>
      <c r="I1037">
        <v>120</v>
      </c>
      <c r="J1037">
        <v>30640</v>
      </c>
      <c r="K1037">
        <v>3676800</v>
      </c>
      <c r="L1037">
        <v>0</v>
      </c>
      <c r="M1037">
        <v>3676800</v>
      </c>
      <c r="N1037" t="s">
        <v>679</v>
      </c>
      <c r="O1037" t="s">
        <v>680</v>
      </c>
    </row>
    <row r="1038" spans="1:15" x14ac:dyDescent="0.3">
      <c r="A1038" t="str">
        <f t="shared" si="16"/>
        <v>WDWP000267-R000-SP</v>
      </c>
      <c r="B1038" t="s">
        <v>14</v>
      </c>
      <c r="C1038" t="s">
        <v>943</v>
      </c>
      <c r="D1038" t="s">
        <v>201</v>
      </c>
      <c r="E1038" t="s">
        <v>946</v>
      </c>
      <c r="F1038" t="s">
        <v>18</v>
      </c>
      <c r="G1038" t="s">
        <v>111</v>
      </c>
      <c r="H1038">
        <v>0</v>
      </c>
      <c r="I1038">
        <v>156</v>
      </c>
      <c r="J1038">
        <v>29460</v>
      </c>
      <c r="K1038">
        <v>4595760</v>
      </c>
      <c r="L1038">
        <v>0</v>
      </c>
      <c r="M1038">
        <v>4595760</v>
      </c>
      <c r="N1038" t="s">
        <v>679</v>
      </c>
      <c r="O1038" t="s">
        <v>680</v>
      </c>
    </row>
    <row r="1039" spans="1:15" x14ac:dyDescent="0.3">
      <c r="A1039" t="str">
        <f t="shared" si="16"/>
        <v>WDWP000267-R000-WW</v>
      </c>
      <c r="B1039" t="s">
        <v>14</v>
      </c>
      <c r="C1039" t="s">
        <v>943</v>
      </c>
      <c r="D1039" t="s">
        <v>28</v>
      </c>
      <c r="E1039" t="s">
        <v>743</v>
      </c>
      <c r="F1039" t="s">
        <v>18</v>
      </c>
      <c r="G1039" t="s">
        <v>1855</v>
      </c>
      <c r="H1039">
        <v>0</v>
      </c>
      <c r="I1039">
        <v>120</v>
      </c>
      <c r="J1039">
        <v>28000</v>
      </c>
      <c r="K1039">
        <v>3360000</v>
      </c>
      <c r="L1039">
        <v>0</v>
      </c>
      <c r="M1039">
        <v>3360000</v>
      </c>
      <c r="N1039" t="s">
        <v>768</v>
      </c>
      <c r="O1039" t="s">
        <v>680</v>
      </c>
    </row>
    <row r="1040" spans="1:15" x14ac:dyDescent="0.3">
      <c r="A1040" t="str">
        <f t="shared" si="16"/>
        <v>WDWP000269-R000-OHN</v>
      </c>
      <c r="B1040" t="s">
        <v>14</v>
      </c>
      <c r="C1040" t="s">
        <v>947</v>
      </c>
      <c r="D1040" t="s">
        <v>251</v>
      </c>
      <c r="E1040" t="s">
        <v>1907</v>
      </c>
      <c r="F1040" t="s">
        <v>18</v>
      </c>
      <c r="G1040" t="s">
        <v>239</v>
      </c>
      <c r="H1040">
        <v>0</v>
      </c>
      <c r="I1040">
        <v>25</v>
      </c>
      <c r="J1040">
        <v>21180</v>
      </c>
      <c r="K1040">
        <v>529500</v>
      </c>
      <c r="L1040">
        <v>0</v>
      </c>
      <c r="M1040">
        <v>529500</v>
      </c>
      <c r="N1040" t="s">
        <v>945</v>
      </c>
      <c r="O1040" t="s">
        <v>680</v>
      </c>
    </row>
    <row r="1041" spans="1:15" x14ac:dyDescent="0.3">
      <c r="A1041" t="str">
        <f t="shared" si="16"/>
        <v>WDWP000269-R000-RCN</v>
      </c>
      <c r="B1041" t="s">
        <v>14</v>
      </c>
      <c r="C1041" t="s">
        <v>947</v>
      </c>
      <c r="D1041" t="s">
        <v>253</v>
      </c>
      <c r="E1041" t="s">
        <v>938</v>
      </c>
      <c r="F1041" t="s">
        <v>18</v>
      </c>
      <c r="G1041" t="s">
        <v>23</v>
      </c>
      <c r="H1041">
        <v>0</v>
      </c>
      <c r="I1041">
        <v>23</v>
      </c>
      <c r="J1041">
        <v>20500</v>
      </c>
      <c r="K1041">
        <v>471500</v>
      </c>
      <c r="L1041">
        <v>0</v>
      </c>
      <c r="M1041">
        <v>471500</v>
      </c>
      <c r="N1041" t="s">
        <v>945</v>
      </c>
      <c r="O1041" t="s">
        <v>680</v>
      </c>
    </row>
    <row r="1042" spans="1:15" x14ac:dyDescent="0.3">
      <c r="A1042" t="str">
        <f t="shared" si="16"/>
        <v>WDWP000269-R000-SP</v>
      </c>
      <c r="B1042" t="s">
        <v>14</v>
      </c>
      <c r="C1042" t="s">
        <v>947</v>
      </c>
      <c r="D1042" t="s">
        <v>201</v>
      </c>
      <c r="E1042" t="s">
        <v>940</v>
      </c>
      <c r="F1042" t="s">
        <v>18</v>
      </c>
      <c r="G1042" t="s">
        <v>49</v>
      </c>
      <c r="H1042">
        <v>0</v>
      </c>
      <c r="I1042">
        <v>295</v>
      </c>
      <c r="J1042">
        <v>20060</v>
      </c>
      <c r="K1042">
        <v>5917700</v>
      </c>
      <c r="L1042">
        <v>0</v>
      </c>
      <c r="M1042">
        <v>5917700</v>
      </c>
      <c r="N1042" t="s">
        <v>945</v>
      </c>
      <c r="O1042" t="s">
        <v>680</v>
      </c>
    </row>
    <row r="1043" spans="1:15" x14ac:dyDescent="0.3">
      <c r="A1043" t="str">
        <f t="shared" si="16"/>
        <v>WDWP000269-R000-SP</v>
      </c>
      <c r="B1043" t="s">
        <v>14</v>
      </c>
      <c r="C1043" t="s">
        <v>947</v>
      </c>
      <c r="D1043" t="s">
        <v>201</v>
      </c>
      <c r="E1043" t="s">
        <v>940</v>
      </c>
      <c r="F1043" t="s">
        <v>18</v>
      </c>
      <c r="G1043" t="s">
        <v>111</v>
      </c>
      <c r="H1043">
        <v>0</v>
      </c>
      <c r="I1043">
        <v>60</v>
      </c>
      <c r="J1043">
        <v>20060</v>
      </c>
      <c r="K1043">
        <v>1203600</v>
      </c>
      <c r="L1043">
        <v>0</v>
      </c>
      <c r="M1043">
        <v>1203600</v>
      </c>
      <c r="N1043" t="s">
        <v>945</v>
      </c>
      <c r="O1043" t="s">
        <v>680</v>
      </c>
    </row>
    <row r="1044" spans="1:15" x14ac:dyDescent="0.3">
      <c r="A1044" t="str">
        <f t="shared" si="16"/>
        <v>WDWP000269-R000-SP</v>
      </c>
      <c r="B1044" t="s">
        <v>14</v>
      </c>
      <c r="C1044" t="s">
        <v>947</v>
      </c>
      <c r="D1044" t="s">
        <v>201</v>
      </c>
      <c r="E1044" t="s">
        <v>940</v>
      </c>
      <c r="F1044" t="s">
        <v>18</v>
      </c>
      <c r="G1044" t="s">
        <v>889</v>
      </c>
      <c r="H1044">
        <v>0</v>
      </c>
      <c r="I1044">
        <v>3</v>
      </c>
      <c r="J1044">
        <v>20060</v>
      </c>
      <c r="K1044">
        <v>60180</v>
      </c>
      <c r="L1044">
        <v>0</v>
      </c>
      <c r="M1044">
        <v>60180</v>
      </c>
      <c r="N1044" t="s">
        <v>945</v>
      </c>
      <c r="O1044" t="s">
        <v>680</v>
      </c>
    </row>
    <row r="1045" spans="1:15" x14ac:dyDescent="0.3">
      <c r="A1045" t="str">
        <f t="shared" si="16"/>
        <v>WDWP000269-R000-SP</v>
      </c>
      <c r="B1045" t="s">
        <v>14</v>
      </c>
      <c r="C1045" t="s">
        <v>947</v>
      </c>
      <c r="D1045" t="s">
        <v>201</v>
      </c>
      <c r="E1045" t="s">
        <v>940</v>
      </c>
      <c r="F1045" t="s">
        <v>18</v>
      </c>
      <c r="G1045" t="s">
        <v>68</v>
      </c>
      <c r="H1045">
        <v>0</v>
      </c>
      <c r="I1045">
        <v>555</v>
      </c>
      <c r="J1045">
        <v>20060</v>
      </c>
      <c r="K1045">
        <v>11133300</v>
      </c>
      <c r="L1045">
        <v>0</v>
      </c>
      <c r="M1045">
        <v>11133300</v>
      </c>
      <c r="N1045" t="s">
        <v>945</v>
      </c>
      <c r="O1045" t="s">
        <v>680</v>
      </c>
    </row>
    <row r="1046" spans="1:15" x14ac:dyDescent="0.3">
      <c r="A1046" t="str">
        <f t="shared" si="16"/>
        <v>WDWP000274-R000-BE</v>
      </c>
      <c r="B1046" t="s">
        <v>14</v>
      </c>
      <c r="C1046" t="s">
        <v>948</v>
      </c>
      <c r="D1046" t="s">
        <v>270</v>
      </c>
      <c r="E1046" t="s">
        <v>949</v>
      </c>
      <c r="F1046" t="s">
        <v>18</v>
      </c>
      <c r="G1046" t="s">
        <v>23</v>
      </c>
      <c r="H1046">
        <v>0</v>
      </c>
      <c r="I1046">
        <v>10</v>
      </c>
      <c r="J1046">
        <v>22510</v>
      </c>
      <c r="K1046">
        <v>225100</v>
      </c>
      <c r="L1046">
        <v>0</v>
      </c>
      <c r="M1046">
        <v>225100</v>
      </c>
      <c r="N1046" t="s">
        <v>683</v>
      </c>
      <c r="O1046" t="s">
        <v>680</v>
      </c>
    </row>
    <row r="1047" spans="1:15" x14ac:dyDescent="0.3">
      <c r="A1047" t="str">
        <f t="shared" si="16"/>
        <v>WDWP000274-R000-BK</v>
      </c>
      <c r="B1047" t="s">
        <v>14</v>
      </c>
      <c r="C1047" t="s">
        <v>948</v>
      </c>
      <c r="D1047" t="s">
        <v>31</v>
      </c>
      <c r="E1047" t="s">
        <v>950</v>
      </c>
      <c r="F1047" t="s">
        <v>18</v>
      </c>
      <c r="G1047" t="s">
        <v>111</v>
      </c>
      <c r="H1047">
        <v>0</v>
      </c>
      <c r="I1047">
        <v>5</v>
      </c>
      <c r="J1047">
        <v>24370</v>
      </c>
      <c r="K1047">
        <v>121850</v>
      </c>
      <c r="L1047">
        <v>0</v>
      </c>
      <c r="M1047">
        <v>121850</v>
      </c>
      <c r="N1047" t="s">
        <v>683</v>
      </c>
      <c r="O1047" t="s">
        <v>680</v>
      </c>
    </row>
    <row r="1048" spans="1:15" x14ac:dyDescent="0.3">
      <c r="A1048" t="str">
        <f t="shared" si="16"/>
        <v>WDWP000274-R000-BK</v>
      </c>
      <c r="B1048" t="s">
        <v>14</v>
      </c>
      <c r="C1048" t="s">
        <v>948</v>
      </c>
      <c r="D1048" t="s">
        <v>31</v>
      </c>
      <c r="E1048" t="s">
        <v>950</v>
      </c>
      <c r="F1048" t="s">
        <v>18</v>
      </c>
      <c r="G1048" t="s">
        <v>818</v>
      </c>
      <c r="H1048">
        <v>0</v>
      </c>
      <c r="I1048">
        <v>30</v>
      </c>
      <c r="J1048">
        <v>24370</v>
      </c>
      <c r="K1048">
        <v>731100</v>
      </c>
      <c r="L1048">
        <v>0</v>
      </c>
      <c r="M1048">
        <v>731100</v>
      </c>
      <c r="N1048" t="s">
        <v>683</v>
      </c>
      <c r="O1048" t="s">
        <v>680</v>
      </c>
    </row>
    <row r="1049" spans="1:15" x14ac:dyDescent="0.3">
      <c r="A1049" t="str">
        <f t="shared" si="16"/>
        <v>WDWP000274-R000-CZ</v>
      </c>
      <c r="B1049" t="s">
        <v>14</v>
      </c>
      <c r="C1049" t="s">
        <v>948</v>
      </c>
      <c r="D1049" t="s">
        <v>861</v>
      </c>
      <c r="E1049" t="s">
        <v>951</v>
      </c>
      <c r="F1049" t="s">
        <v>18</v>
      </c>
      <c r="G1049" t="s">
        <v>174</v>
      </c>
      <c r="H1049">
        <v>0</v>
      </c>
      <c r="I1049">
        <v>-20</v>
      </c>
      <c r="J1049">
        <v>24250</v>
      </c>
      <c r="K1049">
        <v>-485000</v>
      </c>
      <c r="L1049">
        <v>0</v>
      </c>
      <c r="M1049">
        <v>-485000</v>
      </c>
      <c r="N1049" t="s">
        <v>952</v>
      </c>
      <c r="O1049" t="s">
        <v>680</v>
      </c>
    </row>
    <row r="1050" spans="1:15" x14ac:dyDescent="0.3">
      <c r="A1050" t="str">
        <f t="shared" si="16"/>
        <v>WDWP000274-R000-CZ</v>
      </c>
      <c r="B1050" t="s">
        <v>14</v>
      </c>
      <c r="C1050" t="s">
        <v>948</v>
      </c>
      <c r="D1050" t="s">
        <v>861</v>
      </c>
      <c r="E1050" t="s">
        <v>951</v>
      </c>
      <c r="F1050" t="s">
        <v>18</v>
      </c>
      <c r="G1050" t="s">
        <v>19</v>
      </c>
      <c r="H1050">
        <v>0</v>
      </c>
      <c r="I1050">
        <v>50</v>
      </c>
      <c r="J1050">
        <v>23550</v>
      </c>
      <c r="K1050">
        <v>1177500</v>
      </c>
      <c r="L1050">
        <v>0</v>
      </c>
      <c r="M1050">
        <v>1177500</v>
      </c>
      <c r="N1050" t="s">
        <v>952</v>
      </c>
      <c r="O1050" t="s">
        <v>680</v>
      </c>
    </row>
    <row r="1051" spans="1:15" x14ac:dyDescent="0.3">
      <c r="A1051" t="str">
        <f t="shared" si="16"/>
        <v>WDWP000274-R000-CZ</v>
      </c>
      <c r="B1051" t="s">
        <v>14</v>
      </c>
      <c r="C1051" t="s">
        <v>948</v>
      </c>
      <c r="D1051" t="s">
        <v>861</v>
      </c>
      <c r="E1051" t="s">
        <v>951</v>
      </c>
      <c r="F1051" t="s">
        <v>18</v>
      </c>
      <c r="G1051" t="s">
        <v>35</v>
      </c>
      <c r="H1051">
        <v>0</v>
      </c>
      <c r="I1051">
        <v>20</v>
      </c>
      <c r="J1051">
        <v>23550</v>
      </c>
      <c r="K1051">
        <v>471000</v>
      </c>
      <c r="L1051">
        <v>0</v>
      </c>
      <c r="M1051">
        <v>471000</v>
      </c>
      <c r="N1051" t="s">
        <v>952</v>
      </c>
      <c r="O1051" t="s">
        <v>680</v>
      </c>
    </row>
    <row r="1052" spans="1:15" x14ac:dyDescent="0.3">
      <c r="A1052" t="str">
        <f t="shared" si="16"/>
        <v>WDWP000274-R000-CZ</v>
      </c>
      <c r="B1052" t="s">
        <v>14</v>
      </c>
      <c r="C1052" t="s">
        <v>948</v>
      </c>
      <c r="D1052" t="s">
        <v>861</v>
      </c>
      <c r="E1052" t="s">
        <v>951</v>
      </c>
      <c r="F1052" t="s">
        <v>18</v>
      </c>
      <c r="G1052" t="s">
        <v>49</v>
      </c>
      <c r="H1052">
        <v>0</v>
      </c>
      <c r="I1052">
        <v>6</v>
      </c>
      <c r="J1052">
        <v>23550</v>
      </c>
      <c r="K1052">
        <v>141300</v>
      </c>
      <c r="L1052">
        <v>0</v>
      </c>
      <c r="M1052">
        <v>141300</v>
      </c>
      <c r="N1052" t="s">
        <v>952</v>
      </c>
      <c r="O1052" t="s">
        <v>680</v>
      </c>
    </row>
    <row r="1053" spans="1:15" x14ac:dyDescent="0.3">
      <c r="A1053" t="str">
        <f t="shared" si="16"/>
        <v>WDWP000274-R000-FIV</v>
      </c>
      <c r="B1053" t="s">
        <v>14</v>
      </c>
      <c r="C1053" t="s">
        <v>948</v>
      </c>
      <c r="D1053" t="s">
        <v>195</v>
      </c>
      <c r="E1053" t="s">
        <v>953</v>
      </c>
      <c r="F1053" t="s">
        <v>18</v>
      </c>
      <c r="G1053" t="s">
        <v>174</v>
      </c>
      <c r="H1053">
        <v>0</v>
      </c>
      <c r="I1053">
        <v>-26</v>
      </c>
      <c r="J1053">
        <v>23070</v>
      </c>
      <c r="K1053">
        <v>-599820</v>
      </c>
      <c r="L1053">
        <v>0</v>
      </c>
      <c r="M1053">
        <v>-599820</v>
      </c>
      <c r="N1053" t="s">
        <v>683</v>
      </c>
      <c r="O1053" t="s">
        <v>680</v>
      </c>
    </row>
    <row r="1054" spans="1:15" x14ac:dyDescent="0.3">
      <c r="A1054" t="str">
        <f t="shared" si="16"/>
        <v>WDWP000274-R000-FIV</v>
      </c>
      <c r="B1054" t="s">
        <v>14</v>
      </c>
      <c r="C1054" t="s">
        <v>948</v>
      </c>
      <c r="D1054" t="s">
        <v>195</v>
      </c>
      <c r="E1054" t="s">
        <v>953</v>
      </c>
      <c r="F1054" t="s">
        <v>18</v>
      </c>
      <c r="G1054" t="s">
        <v>19</v>
      </c>
      <c r="H1054">
        <v>0</v>
      </c>
      <c r="I1054">
        <v>50</v>
      </c>
      <c r="J1054">
        <v>22280</v>
      </c>
      <c r="K1054">
        <v>1114000</v>
      </c>
      <c r="L1054">
        <v>0</v>
      </c>
      <c r="M1054">
        <v>1114000</v>
      </c>
      <c r="N1054" t="s">
        <v>683</v>
      </c>
      <c r="O1054" t="s">
        <v>680</v>
      </c>
    </row>
    <row r="1055" spans="1:15" x14ac:dyDescent="0.3">
      <c r="A1055" t="str">
        <f t="shared" si="16"/>
        <v>WDWP000274-R000-FIV</v>
      </c>
      <c r="B1055" t="s">
        <v>14</v>
      </c>
      <c r="C1055" t="s">
        <v>948</v>
      </c>
      <c r="D1055" t="s">
        <v>195</v>
      </c>
      <c r="E1055" t="s">
        <v>953</v>
      </c>
      <c r="F1055" t="s">
        <v>18</v>
      </c>
      <c r="G1055" t="s">
        <v>35</v>
      </c>
      <c r="H1055">
        <v>0</v>
      </c>
      <c r="I1055">
        <v>10</v>
      </c>
      <c r="J1055">
        <v>22280</v>
      </c>
      <c r="K1055">
        <v>222800</v>
      </c>
      <c r="L1055">
        <v>0</v>
      </c>
      <c r="M1055">
        <v>222800</v>
      </c>
      <c r="N1055" t="s">
        <v>683</v>
      </c>
      <c r="O1055" t="s">
        <v>680</v>
      </c>
    </row>
    <row r="1056" spans="1:15" x14ac:dyDescent="0.3">
      <c r="A1056" t="str">
        <f t="shared" si="16"/>
        <v>WDWP000274-R000-FK</v>
      </c>
      <c r="B1056" t="s">
        <v>14</v>
      </c>
      <c r="C1056" t="s">
        <v>948</v>
      </c>
      <c r="D1056" t="s">
        <v>229</v>
      </c>
      <c r="E1056" t="s">
        <v>704</v>
      </c>
      <c r="F1056" t="s">
        <v>18</v>
      </c>
      <c r="G1056" t="s">
        <v>1855</v>
      </c>
      <c r="H1056">
        <v>0</v>
      </c>
      <c r="I1056">
        <v>10</v>
      </c>
      <c r="J1056">
        <v>22000</v>
      </c>
      <c r="K1056">
        <v>220000</v>
      </c>
      <c r="L1056">
        <v>0</v>
      </c>
      <c r="M1056">
        <v>220000</v>
      </c>
      <c r="N1056" t="s">
        <v>683</v>
      </c>
      <c r="O1056" t="s">
        <v>680</v>
      </c>
    </row>
    <row r="1057" spans="1:15" x14ac:dyDescent="0.3">
      <c r="A1057" t="str">
        <f t="shared" si="16"/>
        <v>WDWP000274-R000-GU</v>
      </c>
      <c r="B1057" t="s">
        <v>14</v>
      </c>
      <c r="C1057" t="s">
        <v>948</v>
      </c>
      <c r="D1057" t="s">
        <v>274</v>
      </c>
      <c r="E1057" t="s">
        <v>954</v>
      </c>
      <c r="F1057" t="s">
        <v>18</v>
      </c>
      <c r="G1057" t="s">
        <v>111</v>
      </c>
      <c r="H1057">
        <v>0</v>
      </c>
      <c r="I1057">
        <v>20</v>
      </c>
      <c r="J1057">
        <v>22000</v>
      </c>
      <c r="K1057">
        <v>440000</v>
      </c>
      <c r="L1057">
        <v>0</v>
      </c>
      <c r="M1057">
        <v>440000</v>
      </c>
      <c r="N1057" t="s">
        <v>683</v>
      </c>
      <c r="O1057" t="s">
        <v>680</v>
      </c>
    </row>
    <row r="1058" spans="1:15" x14ac:dyDescent="0.3">
      <c r="A1058" t="str">
        <f t="shared" si="16"/>
        <v>WDWP000274-R000-GU</v>
      </c>
      <c r="B1058" t="s">
        <v>14</v>
      </c>
      <c r="C1058" t="s">
        <v>948</v>
      </c>
      <c r="D1058" t="s">
        <v>274</v>
      </c>
      <c r="E1058" t="s">
        <v>954</v>
      </c>
      <c r="F1058" t="s">
        <v>18</v>
      </c>
      <c r="G1058" t="s">
        <v>63</v>
      </c>
      <c r="H1058">
        <v>0</v>
      </c>
      <c r="I1058">
        <v>30</v>
      </c>
      <c r="J1058">
        <v>22000</v>
      </c>
      <c r="K1058">
        <v>660000</v>
      </c>
      <c r="L1058">
        <v>0</v>
      </c>
      <c r="M1058">
        <v>660000</v>
      </c>
      <c r="N1058" t="s">
        <v>683</v>
      </c>
      <c r="O1058" t="s">
        <v>680</v>
      </c>
    </row>
    <row r="1059" spans="1:15" x14ac:dyDescent="0.3">
      <c r="A1059" t="str">
        <f t="shared" si="16"/>
        <v>WDWP000274-R000-GU</v>
      </c>
      <c r="B1059" t="s">
        <v>14</v>
      </c>
      <c r="C1059" t="s">
        <v>948</v>
      </c>
      <c r="D1059" t="s">
        <v>274</v>
      </c>
      <c r="E1059" t="s">
        <v>954</v>
      </c>
      <c r="F1059" t="s">
        <v>18</v>
      </c>
      <c r="G1059" t="s">
        <v>210</v>
      </c>
      <c r="H1059">
        <v>0</v>
      </c>
      <c r="I1059">
        <v>349</v>
      </c>
      <c r="J1059">
        <v>22000</v>
      </c>
      <c r="K1059">
        <v>7678000</v>
      </c>
      <c r="L1059">
        <v>0</v>
      </c>
      <c r="M1059">
        <v>7678000</v>
      </c>
      <c r="N1059" t="s">
        <v>683</v>
      </c>
      <c r="O1059" t="s">
        <v>680</v>
      </c>
    </row>
    <row r="1060" spans="1:15" x14ac:dyDescent="0.3">
      <c r="A1060" t="str">
        <f t="shared" si="16"/>
        <v>WDWP000274-R000-GU</v>
      </c>
      <c r="B1060" t="s">
        <v>14</v>
      </c>
      <c r="C1060" t="s">
        <v>948</v>
      </c>
      <c r="D1060" t="s">
        <v>274</v>
      </c>
      <c r="E1060" t="s">
        <v>954</v>
      </c>
      <c r="F1060" t="s">
        <v>18</v>
      </c>
      <c r="G1060" t="s">
        <v>35</v>
      </c>
      <c r="H1060">
        <v>0</v>
      </c>
      <c r="I1060">
        <v>100</v>
      </c>
      <c r="J1060">
        <v>22000</v>
      </c>
      <c r="K1060">
        <v>2200000</v>
      </c>
      <c r="L1060">
        <v>0</v>
      </c>
      <c r="M1060">
        <v>2200000</v>
      </c>
      <c r="N1060" t="s">
        <v>683</v>
      </c>
      <c r="O1060" t="s">
        <v>680</v>
      </c>
    </row>
    <row r="1061" spans="1:15" x14ac:dyDescent="0.3">
      <c r="A1061" t="str">
        <f t="shared" si="16"/>
        <v>WDWP000274-R000-GYM</v>
      </c>
      <c r="B1061" t="s">
        <v>14</v>
      </c>
      <c r="C1061" t="s">
        <v>948</v>
      </c>
      <c r="D1061" t="s">
        <v>570</v>
      </c>
      <c r="E1061" t="s">
        <v>955</v>
      </c>
      <c r="F1061" t="s">
        <v>18</v>
      </c>
      <c r="G1061" t="s">
        <v>26</v>
      </c>
      <c r="H1061">
        <v>0</v>
      </c>
      <c r="I1061">
        <v>70</v>
      </c>
      <c r="J1061">
        <v>22160</v>
      </c>
      <c r="K1061">
        <v>1551200</v>
      </c>
      <c r="L1061">
        <v>0</v>
      </c>
      <c r="M1061">
        <v>1551200</v>
      </c>
      <c r="N1061" t="s">
        <v>683</v>
      </c>
      <c r="O1061" t="s">
        <v>680</v>
      </c>
    </row>
    <row r="1062" spans="1:15" x14ac:dyDescent="0.3">
      <c r="A1062" t="str">
        <f t="shared" si="16"/>
        <v>WDWP000274-R000-GYM</v>
      </c>
      <c r="B1062" t="s">
        <v>14</v>
      </c>
      <c r="C1062" t="s">
        <v>948</v>
      </c>
      <c r="D1062" t="s">
        <v>570</v>
      </c>
      <c r="E1062" t="s">
        <v>955</v>
      </c>
      <c r="F1062" t="s">
        <v>18</v>
      </c>
      <c r="G1062" t="s">
        <v>35</v>
      </c>
      <c r="H1062">
        <v>0</v>
      </c>
      <c r="I1062">
        <v>350</v>
      </c>
      <c r="J1062">
        <v>22160</v>
      </c>
      <c r="K1062">
        <v>7756000</v>
      </c>
      <c r="L1062">
        <v>0</v>
      </c>
      <c r="M1062">
        <v>7756000</v>
      </c>
      <c r="N1062" t="s">
        <v>683</v>
      </c>
      <c r="O1062" t="s">
        <v>680</v>
      </c>
    </row>
    <row r="1063" spans="1:15" x14ac:dyDescent="0.3">
      <c r="A1063" t="str">
        <f t="shared" si="16"/>
        <v>WDWP000274-R000-GYM</v>
      </c>
      <c r="B1063" t="s">
        <v>14</v>
      </c>
      <c r="C1063" t="s">
        <v>948</v>
      </c>
      <c r="D1063" t="s">
        <v>570</v>
      </c>
      <c r="E1063" t="s">
        <v>955</v>
      </c>
      <c r="F1063" t="s">
        <v>18</v>
      </c>
      <c r="G1063" t="s">
        <v>210</v>
      </c>
      <c r="H1063">
        <v>0</v>
      </c>
      <c r="I1063">
        <v>50</v>
      </c>
      <c r="J1063">
        <v>22160</v>
      </c>
      <c r="K1063">
        <v>1108000</v>
      </c>
      <c r="L1063">
        <v>0</v>
      </c>
      <c r="M1063">
        <v>1108000</v>
      </c>
      <c r="N1063" t="s">
        <v>683</v>
      </c>
      <c r="O1063" t="s">
        <v>680</v>
      </c>
    </row>
    <row r="1064" spans="1:15" x14ac:dyDescent="0.3">
      <c r="A1064" t="str">
        <f t="shared" si="16"/>
        <v>WDWP000274-R000-GYM</v>
      </c>
      <c r="B1064" t="s">
        <v>14</v>
      </c>
      <c r="C1064" t="s">
        <v>948</v>
      </c>
      <c r="D1064" t="s">
        <v>570</v>
      </c>
      <c r="E1064" t="s">
        <v>955</v>
      </c>
      <c r="F1064" t="s">
        <v>18</v>
      </c>
      <c r="G1064" t="s">
        <v>174</v>
      </c>
      <c r="H1064">
        <v>0</v>
      </c>
      <c r="I1064">
        <v>70</v>
      </c>
      <c r="J1064">
        <v>22160</v>
      </c>
      <c r="K1064">
        <v>1551200</v>
      </c>
      <c r="L1064">
        <v>0</v>
      </c>
      <c r="M1064">
        <v>1551200</v>
      </c>
      <c r="N1064" t="s">
        <v>683</v>
      </c>
      <c r="O1064" t="s">
        <v>680</v>
      </c>
    </row>
    <row r="1065" spans="1:15" x14ac:dyDescent="0.3">
      <c r="A1065" t="str">
        <f t="shared" si="16"/>
        <v>WDWP000274-R000-GYM</v>
      </c>
      <c r="B1065" t="s">
        <v>14</v>
      </c>
      <c r="C1065" t="s">
        <v>948</v>
      </c>
      <c r="D1065" t="s">
        <v>570</v>
      </c>
      <c r="E1065" t="s">
        <v>955</v>
      </c>
      <c r="F1065" t="s">
        <v>18</v>
      </c>
      <c r="G1065" t="s">
        <v>19</v>
      </c>
      <c r="H1065">
        <v>0</v>
      </c>
      <c r="I1065">
        <v>200</v>
      </c>
      <c r="J1065">
        <v>22160</v>
      </c>
      <c r="K1065">
        <v>4432000</v>
      </c>
      <c r="L1065">
        <v>0</v>
      </c>
      <c r="M1065">
        <v>4432000</v>
      </c>
      <c r="N1065" t="s">
        <v>683</v>
      </c>
      <c r="O1065" t="s">
        <v>680</v>
      </c>
    </row>
    <row r="1066" spans="1:15" x14ac:dyDescent="0.3">
      <c r="A1066" t="str">
        <f t="shared" si="16"/>
        <v>WDWP000274-R000-GYM</v>
      </c>
      <c r="B1066" t="s">
        <v>14</v>
      </c>
      <c r="C1066" t="s">
        <v>948</v>
      </c>
      <c r="D1066" t="s">
        <v>570</v>
      </c>
      <c r="E1066" t="s">
        <v>955</v>
      </c>
      <c r="F1066" t="s">
        <v>18</v>
      </c>
      <c r="G1066" t="s">
        <v>111</v>
      </c>
      <c r="H1066">
        <v>0</v>
      </c>
      <c r="I1066">
        <v>261</v>
      </c>
      <c r="J1066">
        <v>22160</v>
      </c>
      <c r="K1066">
        <v>5783760</v>
      </c>
      <c r="L1066">
        <v>0</v>
      </c>
      <c r="M1066">
        <v>5783760</v>
      </c>
      <c r="N1066" t="s">
        <v>683</v>
      </c>
      <c r="O1066" t="s">
        <v>680</v>
      </c>
    </row>
    <row r="1067" spans="1:15" x14ac:dyDescent="0.3">
      <c r="A1067" t="str">
        <f t="shared" si="16"/>
        <v>WDWP000274-R000-GYM</v>
      </c>
      <c r="B1067" t="s">
        <v>14</v>
      </c>
      <c r="C1067" t="s">
        <v>948</v>
      </c>
      <c r="D1067" t="s">
        <v>570</v>
      </c>
      <c r="E1067" t="s">
        <v>955</v>
      </c>
      <c r="F1067" t="s">
        <v>18</v>
      </c>
      <c r="G1067" t="s">
        <v>246</v>
      </c>
      <c r="H1067">
        <v>0</v>
      </c>
      <c r="I1067">
        <v>50</v>
      </c>
      <c r="J1067">
        <v>22160</v>
      </c>
      <c r="K1067">
        <v>1108000</v>
      </c>
      <c r="L1067">
        <v>0</v>
      </c>
      <c r="M1067">
        <v>1108000</v>
      </c>
      <c r="N1067" t="s">
        <v>683</v>
      </c>
      <c r="O1067" t="s">
        <v>680</v>
      </c>
    </row>
    <row r="1068" spans="1:15" x14ac:dyDescent="0.3">
      <c r="A1068" t="str">
        <f t="shared" si="16"/>
        <v>WDWP000274-R000-GYM</v>
      </c>
      <c r="B1068" t="s">
        <v>14</v>
      </c>
      <c r="C1068" t="s">
        <v>948</v>
      </c>
      <c r="D1068" t="s">
        <v>570</v>
      </c>
      <c r="E1068" t="s">
        <v>955</v>
      </c>
      <c r="F1068" t="s">
        <v>18</v>
      </c>
      <c r="G1068" t="s">
        <v>68</v>
      </c>
      <c r="H1068">
        <v>0</v>
      </c>
      <c r="I1068">
        <v>120</v>
      </c>
      <c r="J1068">
        <v>22160</v>
      </c>
      <c r="K1068">
        <v>2659200</v>
      </c>
      <c r="L1068">
        <v>0</v>
      </c>
      <c r="M1068">
        <v>2659200</v>
      </c>
      <c r="N1068" t="s">
        <v>683</v>
      </c>
      <c r="O1068" t="s">
        <v>680</v>
      </c>
    </row>
    <row r="1069" spans="1:15" x14ac:dyDescent="0.3">
      <c r="A1069" t="str">
        <f t="shared" si="16"/>
        <v>WDWP000274-R000-GYM</v>
      </c>
      <c r="B1069" t="s">
        <v>14</v>
      </c>
      <c r="C1069" t="s">
        <v>948</v>
      </c>
      <c r="D1069" t="s">
        <v>570</v>
      </c>
      <c r="E1069" t="s">
        <v>955</v>
      </c>
      <c r="F1069" t="s">
        <v>18</v>
      </c>
      <c r="G1069" t="s">
        <v>83</v>
      </c>
      <c r="H1069">
        <v>0</v>
      </c>
      <c r="I1069">
        <v>70</v>
      </c>
      <c r="J1069">
        <v>22160</v>
      </c>
      <c r="K1069">
        <v>1551200</v>
      </c>
      <c r="L1069">
        <v>0</v>
      </c>
      <c r="M1069">
        <v>1551200</v>
      </c>
      <c r="N1069" t="s">
        <v>683</v>
      </c>
      <c r="O1069" t="s">
        <v>680</v>
      </c>
    </row>
    <row r="1070" spans="1:15" x14ac:dyDescent="0.3">
      <c r="A1070" t="str">
        <f t="shared" si="16"/>
        <v>WDWP000274-R000-HW</v>
      </c>
      <c r="B1070" t="s">
        <v>14</v>
      </c>
      <c r="C1070" t="s">
        <v>948</v>
      </c>
      <c r="D1070" t="s">
        <v>867</v>
      </c>
      <c r="E1070" t="s">
        <v>982</v>
      </c>
      <c r="F1070" t="s">
        <v>18</v>
      </c>
      <c r="G1070" t="s">
        <v>49</v>
      </c>
      <c r="H1070">
        <v>0</v>
      </c>
      <c r="I1070">
        <v>10</v>
      </c>
      <c r="J1070">
        <v>22720</v>
      </c>
      <c r="K1070">
        <v>227200</v>
      </c>
      <c r="L1070">
        <v>0</v>
      </c>
      <c r="M1070">
        <v>227200</v>
      </c>
      <c r="N1070" t="s">
        <v>683</v>
      </c>
      <c r="O1070" t="s">
        <v>680</v>
      </c>
    </row>
    <row r="1071" spans="1:15" x14ac:dyDescent="0.3">
      <c r="A1071" t="str">
        <f t="shared" si="16"/>
        <v>WDWP000274-R000-IV</v>
      </c>
      <c r="B1071" t="s">
        <v>14</v>
      </c>
      <c r="C1071" t="s">
        <v>948</v>
      </c>
      <c r="D1071" t="s">
        <v>214</v>
      </c>
      <c r="E1071" t="s">
        <v>733</v>
      </c>
      <c r="F1071" t="s">
        <v>18</v>
      </c>
      <c r="G1071" t="s">
        <v>63</v>
      </c>
      <c r="H1071">
        <v>0</v>
      </c>
      <c r="I1071">
        <v>45</v>
      </c>
      <c r="J1071">
        <v>21740</v>
      </c>
      <c r="K1071">
        <v>978300</v>
      </c>
      <c r="L1071">
        <v>0</v>
      </c>
      <c r="M1071">
        <v>978300</v>
      </c>
      <c r="N1071" t="s">
        <v>683</v>
      </c>
      <c r="O1071" t="s">
        <v>680</v>
      </c>
    </row>
    <row r="1072" spans="1:15" x14ac:dyDescent="0.3">
      <c r="A1072" t="str">
        <f t="shared" si="16"/>
        <v>WDWP000274-R000-IV</v>
      </c>
      <c r="B1072" t="s">
        <v>14</v>
      </c>
      <c r="C1072" t="s">
        <v>948</v>
      </c>
      <c r="D1072" t="s">
        <v>214</v>
      </c>
      <c r="E1072" t="s">
        <v>733</v>
      </c>
      <c r="F1072" t="s">
        <v>18</v>
      </c>
      <c r="G1072" t="s">
        <v>49</v>
      </c>
      <c r="H1072">
        <v>0</v>
      </c>
      <c r="I1072">
        <v>3723</v>
      </c>
      <c r="J1072">
        <v>21740</v>
      </c>
      <c r="K1072">
        <v>80938020</v>
      </c>
      <c r="L1072">
        <v>0</v>
      </c>
      <c r="M1072">
        <v>80938020</v>
      </c>
      <c r="N1072" t="s">
        <v>683</v>
      </c>
      <c r="O1072" t="s">
        <v>680</v>
      </c>
    </row>
    <row r="1073" spans="1:15" x14ac:dyDescent="0.3">
      <c r="A1073" t="str">
        <f t="shared" si="16"/>
        <v>WDWP000274-R000-IV</v>
      </c>
      <c r="B1073" t="s">
        <v>14</v>
      </c>
      <c r="C1073" t="s">
        <v>948</v>
      </c>
      <c r="D1073" t="s">
        <v>214</v>
      </c>
      <c r="E1073" t="s">
        <v>733</v>
      </c>
      <c r="F1073" t="s">
        <v>18</v>
      </c>
      <c r="G1073" t="s">
        <v>111</v>
      </c>
      <c r="H1073">
        <v>0</v>
      </c>
      <c r="I1073">
        <v>20</v>
      </c>
      <c r="J1073">
        <v>21740</v>
      </c>
      <c r="K1073">
        <v>434800</v>
      </c>
      <c r="L1073">
        <v>0</v>
      </c>
      <c r="M1073">
        <v>434800</v>
      </c>
      <c r="N1073" t="s">
        <v>683</v>
      </c>
      <c r="O1073" t="s">
        <v>680</v>
      </c>
    </row>
    <row r="1074" spans="1:15" x14ac:dyDescent="0.3">
      <c r="A1074" t="str">
        <f t="shared" si="16"/>
        <v>WDWP000274-R000-IV</v>
      </c>
      <c r="B1074" t="s">
        <v>14</v>
      </c>
      <c r="C1074" t="s">
        <v>948</v>
      </c>
      <c r="D1074" t="s">
        <v>214</v>
      </c>
      <c r="E1074" t="s">
        <v>733</v>
      </c>
      <c r="F1074" t="s">
        <v>18</v>
      </c>
      <c r="G1074" t="s">
        <v>19</v>
      </c>
      <c r="H1074">
        <v>0</v>
      </c>
      <c r="I1074">
        <v>400</v>
      </c>
      <c r="J1074">
        <v>21740</v>
      </c>
      <c r="K1074">
        <v>8696000</v>
      </c>
      <c r="L1074">
        <v>0</v>
      </c>
      <c r="M1074">
        <v>8696000</v>
      </c>
      <c r="N1074" t="s">
        <v>683</v>
      </c>
      <c r="O1074" t="s">
        <v>680</v>
      </c>
    </row>
    <row r="1075" spans="1:15" x14ac:dyDescent="0.3">
      <c r="A1075" t="str">
        <f t="shared" si="16"/>
        <v>WDWP000274-R000-IV</v>
      </c>
      <c r="B1075" t="s">
        <v>14</v>
      </c>
      <c r="C1075" t="s">
        <v>948</v>
      </c>
      <c r="D1075" t="s">
        <v>214</v>
      </c>
      <c r="E1075" t="s">
        <v>733</v>
      </c>
      <c r="F1075" t="s">
        <v>18</v>
      </c>
      <c r="G1075" t="s">
        <v>83</v>
      </c>
      <c r="H1075">
        <v>0</v>
      </c>
      <c r="I1075">
        <v>120</v>
      </c>
      <c r="J1075">
        <v>21740</v>
      </c>
      <c r="K1075">
        <v>2608800</v>
      </c>
      <c r="L1075">
        <v>0</v>
      </c>
      <c r="M1075">
        <v>2608800</v>
      </c>
      <c r="N1075" t="s">
        <v>683</v>
      </c>
      <c r="O1075" t="s">
        <v>680</v>
      </c>
    </row>
    <row r="1076" spans="1:15" x14ac:dyDescent="0.3">
      <c r="A1076" t="str">
        <f t="shared" si="16"/>
        <v>WDWP000274-R000-IV</v>
      </c>
      <c r="B1076" t="s">
        <v>14</v>
      </c>
      <c r="C1076" t="s">
        <v>948</v>
      </c>
      <c r="D1076" t="s">
        <v>214</v>
      </c>
      <c r="E1076" t="s">
        <v>733</v>
      </c>
      <c r="F1076" t="s">
        <v>18</v>
      </c>
      <c r="G1076" t="s">
        <v>111</v>
      </c>
      <c r="H1076">
        <v>0</v>
      </c>
      <c r="I1076">
        <v>6</v>
      </c>
      <c r="J1076">
        <v>22240</v>
      </c>
      <c r="K1076">
        <v>133440</v>
      </c>
      <c r="L1076">
        <v>0</v>
      </c>
      <c r="M1076">
        <v>133440</v>
      </c>
      <c r="N1076" t="s">
        <v>683</v>
      </c>
      <c r="O1076" t="s">
        <v>680</v>
      </c>
    </row>
    <row r="1077" spans="1:15" x14ac:dyDescent="0.3">
      <c r="A1077" t="str">
        <f t="shared" si="16"/>
        <v>WDWP000274-R000-LT</v>
      </c>
      <c r="B1077" t="s">
        <v>14</v>
      </c>
      <c r="C1077" t="s">
        <v>948</v>
      </c>
      <c r="D1077" t="s">
        <v>217</v>
      </c>
      <c r="E1077" t="s">
        <v>956</v>
      </c>
      <c r="F1077" t="s">
        <v>18</v>
      </c>
      <c r="G1077" t="s">
        <v>23</v>
      </c>
      <c r="H1077">
        <v>0</v>
      </c>
      <c r="I1077">
        <v>430</v>
      </c>
      <c r="J1077">
        <v>22970</v>
      </c>
      <c r="K1077">
        <v>9877100</v>
      </c>
      <c r="L1077">
        <v>0</v>
      </c>
      <c r="M1077">
        <v>9877100</v>
      </c>
      <c r="N1077" t="s">
        <v>725</v>
      </c>
      <c r="O1077" t="s">
        <v>680</v>
      </c>
    </row>
    <row r="1078" spans="1:15" x14ac:dyDescent="0.3">
      <c r="A1078" t="str">
        <f t="shared" si="16"/>
        <v>WDWP000274-R000-MAC</v>
      </c>
      <c r="B1078" t="s">
        <v>14</v>
      </c>
      <c r="C1078" t="s">
        <v>948</v>
      </c>
      <c r="D1078" t="s">
        <v>869</v>
      </c>
      <c r="E1078" t="s">
        <v>957</v>
      </c>
      <c r="F1078" t="s">
        <v>18</v>
      </c>
      <c r="G1078" t="s">
        <v>49</v>
      </c>
      <c r="H1078">
        <v>0</v>
      </c>
      <c r="I1078">
        <v>20</v>
      </c>
      <c r="J1078">
        <v>23500</v>
      </c>
      <c r="K1078">
        <v>470000</v>
      </c>
      <c r="L1078">
        <v>0</v>
      </c>
      <c r="M1078">
        <v>470000</v>
      </c>
      <c r="N1078" t="s">
        <v>958</v>
      </c>
      <c r="O1078" t="s">
        <v>680</v>
      </c>
    </row>
    <row r="1079" spans="1:15" x14ac:dyDescent="0.3">
      <c r="A1079" t="str">
        <f t="shared" si="16"/>
        <v>WDWP000274-R000-MRB</v>
      </c>
      <c r="B1079" t="s">
        <v>14</v>
      </c>
      <c r="C1079" t="s">
        <v>948</v>
      </c>
      <c r="D1079" t="s">
        <v>934</v>
      </c>
      <c r="E1079" t="s">
        <v>959</v>
      </c>
      <c r="F1079" t="s">
        <v>18</v>
      </c>
      <c r="G1079" t="s">
        <v>174</v>
      </c>
      <c r="H1079">
        <v>0</v>
      </c>
      <c r="I1079">
        <v>30</v>
      </c>
      <c r="J1079">
        <v>23490</v>
      </c>
      <c r="K1079">
        <v>704700</v>
      </c>
      <c r="L1079">
        <v>0</v>
      </c>
      <c r="M1079">
        <v>704700</v>
      </c>
      <c r="N1079" t="s">
        <v>952</v>
      </c>
      <c r="O1079" t="s">
        <v>680</v>
      </c>
    </row>
    <row r="1080" spans="1:15" x14ac:dyDescent="0.3">
      <c r="A1080" t="str">
        <f t="shared" si="16"/>
        <v>WDWP000274-R000-MRB</v>
      </c>
      <c r="B1080" t="s">
        <v>14</v>
      </c>
      <c r="C1080" t="s">
        <v>948</v>
      </c>
      <c r="D1080" t="s">
        <v>934</v>
      </c>
      <c r="E1080" t="s">
        <v>959</v>
      </c>
      <c r="F1080" t="s">
        <v>18</v>
      </c>
      <c r="G1080" t="s">
        <v>35</v>
      </c>
      <c r="H1080">
        <v>0</v>
      </c>
      <c r="I1080">
        <v>70</v>
      </c>
      <c r="J1080">
        <v>23490</v>
      </c>
      <c r="K1080">
        <v>1644300</v>
      </c>
      <c r="L1080">
        <v>0</v>
      </c>
      <c r="M1080">
        <v>1644300</v>
      </c>
      <c r="N1080" t="s">
        <v>952</v>
      </c>
      <c r="O1080" t="s">
        <v>680</v>
      </c>
    </row>
    <row r="1081" spans="1:15" x14ac:dyDescent="0.3">
      <c r="A1081" t="str">
        <f t="shared" si="16"/>
        <v>WDWP000274-R000-NBK</v>
      </c>
      <c r="B1081" t="s">
        <v>14</v>
      </c>
      <c r="C1081" t="s">
        <v>948</v>
      </c>
      <c r="D1081" t="s">
        <v>873</v>
      </c>
      <c r="E1081" t="s">
        <v>960</v>
      </c>
      <c r="F1081" t="s">
        <v>18</v>
      </c>
      <c r="G1081" t="s">
        <v>174</v>
      </c>
      <c r="H1081">
        <v>0</v>
      </c>
      <c r="I1081">
        <v>34</v>
      </c>
      <c r="J1081">
        <v>24370</v>
      </c>
      <c r="K1081">
        <v>828580</v>
      </c>
      <c r="L1081">
        <v>0</v>
      </c>
      <c r="M1081">
        <v>828580</v>
      </c>
      <c r="N1081" t="s">
        <v>952</v>
      </c>
      <c r="O1081" t="s">
        <v>680</v>
      </c>
    </row>
    <row r="1082" spans="1:15" x14ac:dyDescent="0.3">
      <c r="A1082" t="str">
        <f t="shared" si="16"/>
        <v>WDWP000274-R000-NBK</v>
      </c>
      <c r="B1082" t="s">
        <v>14</v>
      </c>
      <c r="C1082" t="s">
        <v>948</v>
      </c>
      <c r="D1082" t="s">
        <v>873</v>
      </c>
      <c r="E1082" t="s">
        <v>960</v>
      </c>
      <c r="F1082" t="s">
        <v>18</v>
      </c>
      <c r="G1082" t="s">
        <v>35</v>
      </c>
      <c r="H1082">
        <v>0</v>
      </c>
      <c r="I1082">
        <v>3</v>
      </c>
      <c r="J1082">
        <v>24880</v>
      </c>
      <c r="K1082">
        <v>74640</v>
      </c>
      <c r="L1082">
        <v>0</v>
      </c>
      <c r="M1082">
        <v>74640</v>
      </c>
      <c r="N1082" t="s">
        <v>952</v>
      </c>
      <c r="O1082" t="s">
        <v>680</v>
      </c>
    </row>
    <row r="1083" spans="1:15" x14ac:dyDescent="0.3">
      <c r="A1083" t="str">
        <f t="shared" si="16"/>
        <v>WDWP000274-R000-NCC</v>
      </c>
      <c r="B1083" t="s">
        <v>14</v>
      </c>
      <c r="C1083" t="s">
        <v>948</v>
      </c>
      <c r="D1083" t="s">
        <v>220</v>
      </c>
      <c r="E1083" t="s">
        <v>961</v>
      </c>
      <c r="F1083" t="s">
        <v>18</v>
      </c>
      <c r="G1083" t="s">
        <v>111</v>
      </c>
      <c r="H1083">
        <v>0</v>
      </c>
      <c r="I1083">
        <v>20</v>
      </c>
      <c r="J1083">
        <v>22330</v>
      </c>
      <c r="K1083">
        <v>446600</v>
      </c>
      <c r="L1083">
        <v>0</v>
      </c>
      <c r="M1083">
        <v>446600</v>
      </c>
      <c r="N1083" t="s">
        <v>683</v>
      </c>
      <c r="O1083" t="s">
        <v>680</v>
      </c>
    </row>
    <row r="1084" spans="1:15" x14ac:dyDescent="0.3">
      <c r="A1084" t="str">
        <f t="shared" si="16"/>
        <v>WDWP000274-R000-NCC</v>
      </c>
      <c r="B1084" t="s">
        <v>14</v>
      </c>
      <c r="C1084" t="s">
        <v>948</v>
      </c>
      <c r="D1084" t="s">
        <v>220</v>
      </c>
      <c r="E1084" t="s">
        <v>961</v>
      </c>
      <c r="F1084" t="s">
        <v>18</v>
      </c>
      <c r="G1084" t="s">
        <v>210</v>
      </c>
      <c r="H1084">
        <v>0</v>
      </c>
      <c r="I1084">
        <v>50</v>
      </c>
      <c r="J1084">
        <v>22330</v>
      </c>
      <c r="K1084">
        <v>1116500</v>
      </c>
      <c r="L1084">
        <v>0</v>
      </c>
      <c r="M1084">
        <v>1116500</v>
      </c>
      <c r="N1084" t="s">
        <v>683</v>
      </c>
      <c r="O1084" t="s">
        <v>680</v>
      </c>
    </row>
    <row r="1085" spans="1:15" x14ac:dyDescent="0.3">
      <c r="A1085" t="str">
        <f t="shared" si="16"/>
        <v>WDWP000274-R000-NCC</v>
      </c>
      <c r="B1085" t="s">
        <v>14</v>
      </c>
      <c r="C1085" t="s">
        <v>948</v>
      </c>
      <c r="D1085" t="s">
        <v>220</v>
      </c>
      <c r="E1085" t="s">
        <v>961</v>
      </c>
      <c r="F1085" t="s">
        <v>18</v>
      </c>
      <c r="G1085" t="s">
        <v>19</v>
      </c>
      <c r="H1085">
        <v>0</v>
      </c>
      <c r="I1085">
        <v>150</v>
      </c>
      <c r="J1085">
        <v>22330</v>
      </c>
      <c r="K1085">
        <v>3349500</v>
      </c>
      <c r="L1085">
        <v>0</v>
      </c>
      <c r="M1085">
        <v>3349500</v>
      </c>
      <c r="N1085" t="s">
        <v>683</v>
      </c>
      <c r="O1085" t="s">
        <v>680</v>
      </c>
    </row>
    <row r="1086" spans="1:15" x14ac:dyDescent="0.3">
      <c r="A1086" t="str">
        <f t="shared" si="16"/>
        <v>WDWP000274-R000-NCC</v>
      </c>
      <c r="B1086" t="s">
        <v>14</v>
      </c>
      <c r="C1086" t="s">
        <v>948</v>
      </c>
      <c r="D1086" t="s">
        <v>220</v>
      </c>
      <c r="E1086" t="s">
        <v>961</v>
      </c>
      <c r="F1086" t="s">
        <v>18</v>
      </c>
      <c r="G1086" t="s">
        <v>174</v>
      </c>
      <c r="H1086">
        <v>0</v>
      </c>
      <c r="I1086">
        <v>-8</v>
      </c>
      <c r="J1086">
        <v>21990</v>
      </c>
      <c r="K1086">
        <v>-175920</v>
      </c>
      <c r="L1086">
        <v>0</v>
      </c>
      <c r="M1086">
        <v>-175920</v>
      </c>
      <c r="N1086" t="s">
        <v>683</v>
      </c>
      <c r="O1086" t="s">
        <v>680</v>
      </c>
    </row>
    <row r="1087" spans="1:15" x14ac:dyDescent="0.3">
      <c r="A1087" t="str">
        <f t="shared" si="16"/>
        <v>WDWP000274-R000-NCGYM</v>
      </c>
      <c r="B1087" t="s">
        <v>14</v>
      </c>
      <c r="C1087" t="s">
        <v>948</v>
      </c>
      <c r="D1087" t="s">
        <v>876</v>
      </c>
      <c r="E1087" t="s">
        <v>962</v>
      </c>
      <c r="F1087" t="s">
        <v>18</v>
      </c>
      <c r="G1087" t="s">
        <v>35</v>
      </c>
      <c r="H1087">
        <v>0</v>
      </c>
      <c r="I1087">
        <v>70</v>
      </c>
      <c r="J1087">
        <v>21700</v>
      </c>
      <c r="K1087">
        <v>1519000</v>
      </c>
      <c r="L1087">
        <v>0</v>
      </c>
      <c r="M1087">
        <v>1519000</v>
      </c>
      <c r="N1087" t="s">
        <v>963</v>
      </c>
      <c r="O1087" t="s">
        <v>680</v>
      </c>
    </row>
    <row r="1088" spans="1:15" x14ac:dyDescent="0.3">
      <c r="A1088" t="str">
        <f t="shared" si="16"/>
        <v>WDWP000274-R000-NCGYM</v>
      </c>
      <c r="B1088" t="s">
        <v>14</v>
      </c>
      <c r="C1088" t="s">
        <v>948</v>
      </c>
      <c r="D1088" t="s">
        <v>876</v>
      </c>
      <c r="E1088" t="s">
        <v>962</v>
      </c>
      <c r="F1088" t="s">
        <v>18</v>
      </c>
      <c r="G1088" t="s">
        <v>49</v>
      </c>
      <c r="H1088">
        <v>0</v>
      </c>
      <c r="I1088">
        <v>5</v>
      </c>
      <c r="J1088">
        <v>21700</v>
      </c>
      <c r="K1088">
        <v>108500</v>
      </c>
      <c r="L1088">
        <v>0</v>
      </c>
      <c r="M1088">
        <v>108500</v>
      </c>
      <c r="N1088" t="s">
        <v>963</v>
      </c>
      <c r="O1088" t="s">
        <v>680</v>
      </c>
    </row>
    <row r="1089" spans="1:15" x14ac:dyDescent="0.3">
      <c r="A1089" t="str">
        <f t="shared" si="16"/>
        <v>WDWP000274-R000-NCGYM</v>
      </c>
      <c r="B1089" t="s">
        <v>14</v>
      </c>
      <c r="C1089" t="s">
        <v>948</v>
      </c>
      <c r="D1089" t="s">
        <v>876</v>
      </c>
      <c r="E1089" t="s">
        <v>962</v>
      </c>
      <c r="F1089" t="s">
        <v>18</v>
      </c>
      <c r="G1089" t="s">
        <v>83</v>
      </c>
      <c r="H1089">
        <v>0</v>
      </c>
      <c r="I1089">
        <v>91</v>
      </c>
      <c r="J1089">
        <v>21700</v>
      </c>
      <c r="K1089">
        <v>1974700</v>
      </c>
      <c r="L1089">
        <v>0</v>
      </c>
      <c r="M1089">
        <v>1974700</v>
      </c>
      <c r="N1089" t="s">
        <v>963</v>
      </c>
      <c r="O1089" t="s">
        <v>680</v>
      </c>
    </row>
    <row r="1090" spans="1:15" x14ac:dyDescent="0.3">
      <c r="A1090" t="str">
        <f t="shared" si="16"/>
        <v>WDWP000274-R000-NGYS</v>
      </c>
      <c r="B1090" t="s">
        <v>14</v>
      </c>
      <c r="C1090" t="s">
        <v>948</v>
      </c>
      <c r="D1090" t="s">
        <v>855</v>
      </c>
      <c r="E1090" t="s">
        <v>964</v>
      </c>
      <c r="F1090" t="s">
        <v>18</v>
      </c>
      <c r="G1090" t="s">
        <v>174</v>
      </c>
      <c r="H1090">
        <v>0</v>
      </c>
      <c r="I1090">
        <v>70</v>
      </c>
      <c r="J1090">
        <v>23030</v>
      </c>
      <c r="K1090">
        <v>1612100</v>
      </c>
      <c r="L1090">
        <v>0</v>
      </c>
      <c r="M1090">
        <v>1612100</v>
      </c>
      <c r="N1090" t="s">
        <v>952</v>
      </c>
      <c r="O1090" t="s">
        <v>680</v>
      </c>
    </row>
    <row r="1091" spans="1:15" x14ac:dyDescent="0.3">
      <c r="A1091" t="str">
        <f t="shared" ref="A1091:A1154" si="17">C1091&amp;"-"&amp;D1091</f>
        <v>WDWP000274-R000-NGYS</v>
      </c>
      <c r="B1091" t="s">
        <v>14</v>
      </c>
      <c r="C1091" t="s">
        <v>948</v>
      </c>
      <c r="D1091" t="s">
        <v>855</v>
      </c>
      <c r="E1091" t="s">
        <v>964</v>
      </c>
      <c r="F1091" t="s">
        <v>18</v>
      </c>
      <c r="G1091" t="s">
        <v>26</v>
      </c>
      <c r="H1091">
        <v>0</v>
      </c>
      <c r="I1091">
        <v>104</v>
      </c>
      <c r="J1091">
        <v>23030</v>
      </c>
      <c r="K1091">
        <v>2395120</v>
      </c>
      <c r="L1091">
        <v>0</v>
      </c>
      <c r="M1091">
        <v>2395120</v>
      </c>
      <c r="N1091" t="s">
        <v>952</v>
      </c>
      <c r="O1091" t="s">
        <v>680</v>
      </c>
    </row>
    <row r="1092" spans="1:15" x14ac:dyDescent="0.3">
      <c r="A1092" t="str">
        <f t="shared" si="17"/>
        <v>WDWP000274-R000-NGYS</v>
      </c>
      <c r="B1092" t="s">
        <v>14</v>
      </c>
      <c r="C1092" t="s">
        <v>948</v>
      </c>
      <c r="D1092" t="s">
        <v>855</v>
      </c>
      <c r="E1092" t="s">
        <v>964</v>
      </c>
      <c r="F1092" t="s">
        <v>18</v>
      </c>
      <c r="G1092" t="s">
        <v>111</v>
      </c>
      <c r="H1092">
        <v>0</v>
      </c>
      <c r="I1092">
        <v>190</v>
      </c>
      <c r="J1092">
        <v>23030</v>
      </c>
      <c r="K1092">
        <v>4375700</v>
      </c>
      <c r="L1092">
        <v>0</v>
      </c>
      <c r="M1092">
        <v>4375700</v>
      </c>
      <c r="N1092" t="s">
        <v>952</v>
      </c>
      <c r="O1092" t="s">
        <v>680</v>
      </c>
    </row>
    <row r="1093" spans="1:15" x14ac:dyDescent="0.3">
      <c r="A1093" t="str">
        <f t="shared" si="17"/>
        <v>WDWP000274-R000-NK</v>
      </c>
      <c r="B1093" t="s">
        <v>14</v>
      </c>
      <c r="C1093" t="s">
        <v>948</v>
      </c>
      <c r="D1093" t="s">
        <v>879</v>
      </c>
      <c r="E1093" t="s">
        <v>965</v>
      </c>
      <c r="F1093" t="s">
        <v>18</v>
      </c>
      <c r="G1093" t="s">
        <v>49</v>
      </c>
      <c r="H1093">
        <v>0</v>
      </c>
      <c r="I1093">
        <v>15</v>
      </c>
      <c r="J1093">
        <v>22720</v>
      </c>
      <c r="K1093">
        <v>340800</v>
      </c>
      <c r="L1093">
        <v>0</v>
      </c>
      <c r="M1093">
        <v>340800</v>
      </c>
      <c r="N1093" t="s">
        <v>966</v>
      </c>
      <c r="O1093" t="s">
        <v>680</v>
      </c>
    </row>
    <row r="1094" spans="1:15" x14ac:dyDescent="0.3">
      <c r="A1094" t="str">
        <f t="shared" si="17"/>
        <v>WDWP000274-R000-NK</v>
      </c>
      <c r="B1094" t="s">
        <v>14</v>
      </c>
      <c r="C1094" t="s">
        <v>948</v>
      </c>
      <c r="D1094" t="s">
        <v>879</v>
      </c>
      <c r="E1094" t="s">
        <v>965</v>
      </c>
      <c r="F1094" t="s">
        <v>18</v>
      </c>
      <c r="G1094" t="s">
        <v>174</v>
      </c>
      <c r="H1094">
        <v>0</v>
      </c>
      <c r="I1094">
        <v>75</v>
      </c>
      <c r="J1094">
        <v>22720</v>
      </c>
      <c r="K1094">
        <v>1704000</v>
      </c>
      <c r="L1094">
        <v>0</v>
      </c>
      <c r="M1094">
        <v>1704000</v>
      </c>
      <c r="N1094" t="s">
        <v>966</v>
      </c>
      <c r="O1094" t="s">
        <v>680</v>
      </c>
    </row>
    <row r="1095" spans="1:15" x14ac:dyDescent="0.3">
      <c r="A1095" t="str">
        <f t="shared" si="17"/>
        <v>WDWP000274-R000-NK</v>
      </c>
      <c r="B1095" t="s">
        <v>14</v>
      </c>
      <c r="C1095" t="s">
        <v>948</v>
      </c>
      <c r="D1095" t="s">
        <v>879</v>
      </c>
      <c r="E1095" t="s">
        <v>965</v>
      </c>
      <c r="F1095" t="s">
        <v>18</v>
      </c>
      <c r="G1095" t="s">
        <v>35</v>
      </c>
      <c r="H1095">
        <v>0</v>
      </c>
      <c r="I1095">
        <v>21</v>
      </c>
      <c r="J1095">
        <v>23220</v>
      </c>
      <c r="K1095">
        <v>487620</v>
      </c>
      <c r="L1095">
        <v>0</v>
      </c>
      <c r="M1095">
        <v>487620</v>
      </c>
      <c r="N1095" t="s">
        <v>966</v>
      </c>
      <c r="O1095" t="s">
        <v>680</v>
      </c>
    </row>
    <row r="1096" spans="1:15" x14ac:dyDescent="0.3">
      <c r="A1096" t="str">
        <f t="shared" si="17"/>
        <v>WDWP000274-R000-NWW</v>
      </c>
      <c r="B1096" t="s">
        <v>14</v>
      </c>
      <c r="C1096" t="s">
        <v>948</v>
      </c>
      <c r="D1096" t="s">
        <v>464</v>
      </c>
      <c r="E1096" t="s">
        <v>967</v>
      </c>
      <c r="F1096" t="s">
        <v>18</v>
      </c>
      <c r="G1096" t="s">
        <v>174</v>
      </c>
      <c r="H1096">
        <v>0</v>
      </c>
      <c r="I1096">
        <v>50</v>
      </c>
      <c r="J1096">
        <v>21010</v>
      </c>
      <c r="K1096">
        <v>1050500</v>
      </c>
      <c r="L1096">
        <v>0</v>
      </c>
      <c r="M1096">
        <v>1050500</v>
      </c>
      <c r="N1096" t="s">
        <v>952</v>
      </c>
      <c r="O1096" t="s">
        <v>680</v>
      </c>
    </row>
    <row r="1097" spans="1:15" x14ac:dyDescent="0.3">
      <c r="A1097" t="str">
        <f t="shared" si="17"/>
        <v>WDWP000274-R000-NWW</v>
      </c>
      <c r="B1097" t="s">
        <v>14</v>
      </c>
      <c r="C1097" t="s">
        <v>948</v>
      </c>
      <c r="D1097" t="s">
        <v>464</v>
      </c>
      <c r="E1097" t="s">
        <v>967</v>
      </c>
      <c r="F1097" t="s">
        <v>18</v>
      </c>
      <c r="G1097" t="s">
        <v>35</v>
      </c>
      <c r="H1097">
        <v>0</v>
      </c>
      <c r="I1097">
        <v>3</v>
      </c>
      <c r="J1097">
        <v>21510</v>
      </c>
      <c r="K1097">
        <v>64530</v>
      </c>
      <c r="L1097">
        <v>0</v>
      </c>
      <c r="M1097">
        <v>64530</v>
      </c>
      <c r="N1097" t="s">
        <v>952</v>
      </c>
      <c r="O1097" t="s">
        <v>680</v>
      </c>
    </row>
    <row r="1098" spans="1:15" x14ac:dyDescent="0.3">
      <c r="A1098" t="str">
        <f t="shared" si="17"/>
        <v>WDWP000274-R000-OAT</v>
      </c>
      <c r="B1098" t="s">
        <v>14</v>
      </c>
      <c r="C1098" t="s">
        <v>948</v>
      </c>
      <c r="D1098" t="s">
        <v>223</v>
      </c>
      <c r="E1098" t="s">
        <v>968</v>
      </c>
      <c r="F1098" t="s">
        <v>18</v>
      </c>
      <c r="G1098" t="s">
        <v>19</v>
      </c>
      <c r="H1098">
        <v>0</v>
      </c>
      <c r="I1098">
        <v>150</v>
      </c>
      <c r="J1098">
        <v>22160</v>
      </c>
      <c r="K1098">
        <v>3324000</v>
      </c>
      <c r="L1098">
        <v>0</v>
      </c>
      <c r="M1098">
        <v>3324000</v>
      </c>
      <c r="N1098" t="s">
        <v>856</v>
      </c>
      <c r="O1098" t="s">
        <v>680</v>
      </c>
    </row>
    <row r="1099" spans="1:15" x14ac:dyDescent="0.3">
      <c r="A1099" t="str">
        <f t="shared" si="17"/>
        <v>WDWP000274-R000-OAT</v>
      </c>
      <c r="B1099" t="s">
        <v>14</v>
      </c>
      <c r="C1099" t="s">
        <v>948</v>
      </c>
      <c r="D1099" t="s">
        <v>223</v>
      </c>
      <c r="E1099" t="s">
        <v>968</v>
      </c>
      <c r="F1099" t="s">
        <v>18</v>
      </c>
      <c r="G1099" t="s">
        <v>111</v>
      </c>
      <c r="H1099">
        <v>0</v>
      </c>
      <c r="I1099">
        <v>100</v>
      </c>
      <c r="J1099">
        <v>22160</v>
      </c>
      <c r="K1099">
        <v>2216000</v>
      </c>
      <c r="L1099">
        <v>0</v>
      </c>
      <c r="M1099">
        <v>2216000</v>
      </c>
      <c r="N1099" t="s">
        <v>856</v>
      </c>
      <c r="O1099" t="s">
        <v>680</v>
      </c>
    </row>
    <row r="1100" spans="1:15" x14ac:dyDescent="0.3">
      <c r="A1100" t="str">
        <f t="shared" si="17"/>
        <v>WDWP000274-R000-OAT</v>
      </c>
      <c r="B1100" t="s">
        <v>14</v>
      </c>
      <c r="C1100" t="s">
        <v>948</v>
      </c>
      <c r="D1100" t="s">
        <v>223</v>
      </c>
      <c r="E1100" t="s">
        <v>968</v>
      </c>
      <c r="F1100" t="s">
        <v>18</v>
      </c>
      <c r="G1100" t="s">
        <v>246</v>
      </c>
      <c r="H1100">
        <v>0</v>
      </c>
      <c r="I1100">
        <v>300</v>
      </c>
      <c r="J1100">
        <v>22160</v>
      </c>
      <c r="K1100">
        <v>6648000</v>
      </c>
      <c r="L1100">
        <v>0</v>
      </c>
      <c r="M1100">
        <v>6648000</v>
      </c>
      <c r="N1100" t="s">
        <v>856</v>
      </c>
      <c r="O1100" t="s">
        <v>680</v>
      </c>
    </row>
    <row r="1101" spans="1:15" x14ac:dyDescent="0.3">
      <c r="A1101" t="str">
        <f t="shared" si="17"/>
        <v>WDWP000274-R000-OAT</v>
      </c>
      <c r="B1101" t="s">
        <v>14</v>
      </c>
      <c r="C1101" t="s">
        <v>948</v>
      </c>
      <c r="D1101" t="s">
        <v>223</v>
      </c>
      <c r="E1101" t="s">
        <v>968</v>
      </c>
      <c r="F1101" t="s">
        <v>18</v>
      </c>
      <c r="G1101" t="s">
        <v>49</v>
      </c>
      <c r="H1101">
        <v>0</v>
      </c>
      <c r="I1101">
        <v>179</v>
      </c>
      <c r="J1101">
        <v>22160</v>
      </c>
      <c r="K1101">
        <v>3966640</v>
      </c>
      <c r="L1101">
        <v>0</v>
      </c>
      <c r="M1101">
        <v>3966640</v>
      </c>
      <c r="N1101" t="s">
        <v>856</v>
      </c>
      <c r="O1101" t="s">
        <v>680</v>
      </c>
    </row>
    <row r="1102" spans="1:15" x14ac:dyDescent="0.3">
      <c r="A1102" t="str">
        <f t="shared" si="17"/>
        <v>WDWP000274-R000-OAT</v>
      </c>
      <c r="B1102" t="s">
        <v>14</v>
      </c>
      <c r="C1102" t="s">
        <v>948</v>
      </c>
      <c r="D1102" t="s">
        <v>223</v>
      </c>
      <c r="E1102" t="s">
        <v>968</v>
      </c>
      <c r="F1102" t="s">
        <v>18</v>
      </c>
      <c r="G1102" t="s">
        <v>19</v>
      </c>
      <c r="H1102">
        <v>0</v>
      </c>
      <c r="I1102">
        <v>50</v>
      </c>
      <c r="J1102">
        <v>22660</v>
      </c>
      <c r="K1102">
        <v>1133000</v>
      </c>
      <c r="L1102">
        <v>0</v>
      </c>
      <c r="M1102">
        <v>1133000</v>
      </c>
      <c r="N1102" t="s">
        <v>856</v>
      </c>
      <c r="O1102" t="s">
        <v>680</v>
      </c>
    </row>
    <row r="1103" spans="1:15" x14ac:dyDescent="0.3">
      <c r="A1103" t="str">
        <f t="shared" si="17"/>
        <v>WDWP000274-R000-OAT</v>
      </c>
      <c r="B1103" t="s">
        <v>14</v>
      </c>
      <c r="C1103" t="s">
        <v>948</v>
      </c>
      <c r="D1103" t="s">
        <v>223</v>
      </c>
      <c r="E1103" t="s">
        <v>968</v>
      </c>
      <c r="F1103" t="s">
        <v>18</v>
      </c>
      <c r="G1103" t="s">
        <v>210</v>
      </c>
      <c r="H1103">
        <v>0</v>
      </c>
      <c r="I1103">
        <v>50</v>
      </c>
      <c r="J1103">
        <v>22160</v>
      </c>
      <c r="K1103">
        <v>1108000</v>
      </c>
      <c r="L1103">
        <v>0</v>
      </c>
      <c r="M1103">
        <v>1108000</v>
      </c>
      <c r="N1103" t="s">
        <v>856</v>
      </c>
      <c r="O1103" t="s">
        <v>680</v>
      </c>
    </row>
    <row r="1104" spans="1:15" x14ac:dyDescent="0.3">
      <c r="A1104" t="str">
        <f t="shared" si="17"/>
        <v>WDWP000274-R000-OAT</v>
      </c>
      <c r="B1104" t="s">
        <v>14</v>
      </c>
      <c r="C1104" t="s">
        <v>948</v>
      </c>
      <c r="D1104" t="s">
        <v>223</v>
      </c>
      <c r="E1104" t="s">
        <v>968</v>
      </c>
      <c r="F1104" t="s">
        <v>18</v>
      </c>
      <c r="G1104" t="s">
        <v>35</v>
      </c>
      <c r="H1104">
        <v>0</v>
      </c>
      <c r="I1104">
        <v>840</v>
      </c>
      <c r="J1104">
        <v>22160</v>
      </c>
      <c r="K1104">
        <v>18614400</v>
      </c>
      <c r="L1104">
        <v>0</v>
      </c>
      <c r="M1104">
        <v>18614400</v>
      </c>
      <c r="N1104" t="s">
        <v>856</v>
      </c>
      <c r="O1104" t="s">
        <v>680</v>
      </c>
    </row>
    <row r="1105" spans="1:15" x14ac:dyDescent="0.3">
      <c r="A1105" t="str">
        <f t="shared" si="17"/>
        <v>WDWP000274-R000-OS</v>
      </c>
      <c r="B1105" t="s">
        <v>14</v>
      </c>
      <c r="C1105" t="s">
        <v>948</v>
      </c>
      <c r="D1105" t="s">
        <v>264</v>
      </c>
      <c r="E1105" t="s">
        <v>969</v>
      </c>
      <c r="F1105" t="s">
        <v>18</v>
      </c>
      <c r="G1105" t="s">
        <v>35</v>
      </c>
      <c r="H1105">
        <v>0</v>
      </c>
      <c r="I1105">
        <v>100</v>
      </c>
      <c r="J1105">
        <v>22330</v>
      </c>
      <c r="K1105">
        <v>2233000</v>
      </c>
      <c r="L1105">
        <v>0</v>
      </c>
      <c r="M1105">
        <v>2233000</v>
      </c>
      <c r="N1105" t="s">
        <v>683</v>
      </c>
      <c r="O1105" t="s">
        <v>680</v>
      </c>
    </row>
    <row r="1106" spans="1:15" x14ac:dyDescent="0.3">
      <c r="A1106" t="str">
        <f t="shared" si="17"/>
        <v>WDWP000274-R000-OS</v>
      </c>
      <c r="B1106" t="s">
        <v>14</v>
      </c>
      <c r="C1106" t="s">
        <v>948</v>
      </c>
      <c r="D1106" t="s">
        <v>264</v>
      </c>
      <c r="E1106" t="s">
        <v>969</v>
      </c>
      <c r="F1106" t="s">
        <v>18</v>
      </c>
      <c r="G1106" t="s">
        <v>63</v>
      </c>
      <c r="H1106">
        <v>0</v>
      </c>
      <c r="I1106">
        <v>85</v>
      </c>
      <c r="J1106">
        <v>22330</v>
      </c>
      <c r="K1106">
        <v>1898050</v>
      </c>
      <c r="L1106">
        <v>0</v>
      </c>
      <c r="M1106">
        <v>1898050</v>
      </c>
      <c r="N1106" t="s">
        <v>683</v>
      </c>
      <c r="O1106" t="s">
        <v>680</v>
      </c>
    </row>
    <row r="1107" spans="1:15" x14ac:dyDescent="0.3">
      <c r="A1107" t="str">
        <f t="shared" si="17"/>
        <v>WDWP000274-R000-OS</v>
      </c>
      <c r="B1107" t="s">
        <v>14</v>
      </c>
      <c r="C1107" t="s">
        <v>948</v>
      </c>
      <c r="D1107" t="s">
        <v>264</v>
      </c>
      <c r="E1107" t="s">
        <v>969</v>
      </c>
      <c r="F1107" t="s">
        <v>18</v>
      </c>
      <c r="G1107" t="s">
        <v>111</v>
      </c>
      <c r="H1107">
        <v>0</v>
      </c>
      <c r="I1107">
        <v>11</v>
      </c>
      <c r="J1107">
        <v>22330</v>
      </c>
      <c r="K1107">
        <v>245630</v>
      </c>
      <c r="L1107">
        <v>0</v>
      </c>
      <c r="M1107">
        <v>245630</v>
      </c>
      <c r="N1107" t="s">
        <v>683</v>
      </c>
      <c r="O1107" t="s">
        <v>680</v>
      </c>
    </row>
    <row r="1108" spans="1:15" x14ac:dyDescent="0.3">
      <c r="A1108" t="str">
        <f t="shared" si="17"/>
        <v>WDWP000274-R000-OS</v>
      </c>
      <c r="B1108" t="s">
        <v>14</v>
      </c>
      <c r="C1108" t="s">
        <v>948</v>
      </c>
      <c r="D1108" t="s">
        <v>264</v>
      </c>
      <c r="E1108" t="s">
        <v>969</v>
      </c>
      <c r="F1108" t="s">
        <v>18</v>
      </c>
      <c r="G1108" t="s">
        <v>26</v>
      </c>
      <c r="H1108">
        <v>0</v>
      </c>
      <c r="I1108">
        <v>245</v>
      </c>
      <c r="J1108">
        <v>22330</v>
      </c>
      <c r="K1108">
        <v>5470850</v>
      </c>
      <c r="L1108">
        <v>0</v>
      </c>
      <c r="M1108">
        <v>5470850</v>
      </c>
      <c r="N1108" t="s">
        <v>683</v>
      </c>
      <c r="O1108" t="s">
        <v>680</v>
      </c>
    </row>
    <row r="1109" spans="1:15" x14ac:dyDescent="0.3">
      <c r="A1109" t="str">
        <f t="shared" si="17"/>
        <v>WDWP000274-R000-OS</v>
      </c>
      <c r="B1109" t="s">
        <v>14</v>
      </c>
      <c r="C1109" t="s">
        <v>948</v>
      </c>
      <c r="D1109" t="s">
        <v>264</v>
      </c>
      <c r="E1109" t="s">
        <v>969</v>
      </c>
      <c r="F1109" t="s">
        <v>18</v>
      </c>
      <c r="G1109" t="s">
        <v>68</v>
      </c>
      <c r="H1109">
        <v>0</v>
      </c>
      <c r="I1109">
        <v>665</v>
      </c>
      <c r="J1109">
        <v>22330</v>
      </c>
      <c r="K1109">
        <v>14849450</v>
      </c>
      <c r="L1109">
        <v>0</v>
      </c>
      <c r="M1109">
        <v>14849450</v>
      </c>
      <c r="N1109" t="s">
        <v>683</v>
      </c>
      <c r="O1109" t="s">
        <v>680</v>
      </c>
    </row>
    <row r="1110" spans="1:15" x14ac:dyDescent="0.3">
      <c r="A1110" t="str">
        <f t="shared" si="17"/>
        <v>WDWP000274-R000-OS</v>
      </c>
      <c r="B1110" t="s">
        <v>14</v>
      </c>
      <c r="C1110" t="s">
        <v>948</v>
      </c>
      <c r="D1110" t="s">
        <v>264</v>
      </c>
      <c r="E1110" t="s">
        <v>969</v>
      </c>
      <c r="F1110" t="s">
        <v>18</v>
      </c>
      <c r="G1110" t="s">
        <v>83</v>
      </c>
      <c r="H1110">
        <v>0</v>
      </c>
      <c r="I1110">
        <v>20</v>
      </c>
      <c r="J1110">
        <v>22330</v>
      </c>
      <c r="K1110">
        <v>446600</v>
      </c>
      <c r="L1110">
        <v>0</v>
      </c>
      <c r="M1110">
        <v>446600</v>
      </c>
      <c r="N1110" t="s">
        <v>683</v>
      </c>
      <c r="O1110" t="s">
        <v>680</v>
      </c>
    </row>
    <row r="1111" spans="1:15" x14ac:dyDescent="0.3">
      <c r="A1111" t="str">
        <f t="shared" si="17"/>
        <v>WDWP000274-R000-OS</v>
      </c>
      <c r="B1111" t="s">
        <v>14</v>
      </c>
      <c r="C1111" t="s">
        <v>948</v>
      </c>
      <c r="D1111" t="s">
        <v>264</v>
      </c>
      <c r="E1111" t="s">
        <v>969</v>
      </c>
      <c r="F1111" t="s">
        <v>18</v>
      </c>
      <c r="G1111" t="s">
        <v>49</v>
      </c>
      <c r="H1111">
        <v>0</v>
      </c>
      <c r="I1111">
        <v>51</v>
      </c>
      <c r="J1111">
        <v>22330</v>
      </c>
      <c r="K1111">
        <v>1138830</v>
      </c>
      <c r="L1111">
        <v>0</v>
      </c>
      <c r="M1111">
        <v>1138830</v>
      </c>
      <c r="N1111" t="s">
        <v>683</v>
      </c>
      <c r="O1111" t="s">
        <v>680</v>
      </c>
    </row>
    <row r="1112" spans="1:15" x14ac:dyDescent="0.3">
      <c r="A1112" t="str">
        <f t="shared" si="17"/>
        <v>WDWP000274-R000-OS</v>
      </c>
      <c r="B1112" t="s">
        <v>14</v>
      </c>
      <c r="C1112" t="s">
        <v>948</v>
      </c>
      <c r="D1112" t="s">
        <v>264</v>
      </c>
      <c r="E1112" t="s">
        <v>969</v>
      </c>
      <c r="F1112" t="s">
        <v>18</v>
      </c>
      <c r="G1112" t="s">
        <v>246</v>
      </c>
      <c r="H1112">
        <v>0</v>
      </c>
      <c r="I1112">
        <v>40</v>
      </c>
      <c r="J1112">
        <v>22330</v>
      </c>
      <c r="K1112">
        <v>893200</v>
      </c>
      <c r="L1112">
        <v>0</v>
      </c>
      <c r="M1112">
        <v>893200</v>
      </c>
      <c r="N1112" t="s">
        <v>683</v>
      </c>
      <c r="O1112" t="s">
        <v>680</v>
      </c>
    </row>
    <row r="1113" spans="1:15" x14ac:dyDescent="0.3">
      <c r="A1113" t="str">
        <f t="shared" si="17"/>
        <v>WDWP000274-R000-OS</v>
      </c>
      <c r="B1113" t="s">
        <v>14</v>
      </c>
      <c r="C1113" t="s">
        <v>948</v>
      </c>
      <c r="D1113" t="s">
        <v>264</v>
      </c>
      <c r="E1113" t="s">
        <v>969</v>
      </c>
      <c r="F1113" t="s">
        <v>18</v>
      </c>
      <c r="G1113" t="s">
        <v>210</v>
      </c>
      <c r="H1113">
        <v>0</v>
      </c>
      <c r="I1113">
        <v>0</v>
      </c>
      <c r="J1113">
        <v>22330</v>
      </c>
      <c r="K1113">
        <v>0</v>
      </c>
      <c r="L1113">
        <v>0</v>
      </c>
      <c r="M1113">
        <v>0</v>
      </c>
      <c r="N1113" t="s">
        <v>683</v>
      </c>
      <c r="O1113" t="s">
        <v>680</v>
      </c>
    </row>
    <row r="1114" spans="1:15" x14ac:dyDescent="0.3">
      <c r="A1114" t="str">
        <f t="shared" si="17"/>
        <v>WDWP000274-R000-OS</v>
      </c>
      <c r="B1114" t="s">
        <v>14</v>
      </c>
      <c r="C1114" t="s">
        <v>948</v>
      </c>
      <c r="D1114" t="s">
        <v>264</v>
      </c>
      <c r="E1114" t="s">
        <v>969</v>
      </c>
      <c r="F1114" t="s">
        <v>18</v>
      </c>
      <c r="G1114" t="s">
        <v>26</v>
      </c>
      <c r="H1114">
        <v>0</v>
      </c>
      <c r="I1114">
        <v>94</v>
      </c>
      <c r="J1114">
        <v>22830</v>
      </c>
      <c r="K1114">
        <v>2146020</v>
      </c>
      <c r="L1114">
        <v>0</v>
      </c>
      <c r="M1114">
        <v>2146020</v>
      </c>
      <c r="N1114" t="s">
        <v>683</v>
      </c>
      <c r="O1114" t="s">
        <v>680</v>
      </c>
    </row>
    <row r="1115" spans="1:15" x14ac:dyDescent="0.3">
      <c r="A1115" t="str">
        <f t="shared" si="17"/>
        <v>WDWP000274-R000-RCN</v>
      </c>
      <c r="B1115" t="s">
        <v>14</v>
      </c>
      <c r="C1115" t="s">
        <v>948</v>
      </c>
      <c r="D1115" t="s">
        <v>253</v>
      </c>
      <c r="E1115" t="s">
        <v>970</v>
      </c>
      <c r="F1115" t="s">
        <v>18</v>
      </c>
      <c r="G1115" t="s">
        <v>35</v>
      </c>
      <c r="H1115">
        <v>0</v>
      </c>
      <c r="I1115">
        <v>4</v>
      </c>
      <c r="J1115">
        <v>24010</v>
      </c>
      <c r="K1115">
        <v>96040</v>
      </c>
      <c r="L1115">
        <v>0</v>
      </c>
      <c r="M1115">
        <v>96040</v>
      </c>
      <c r="N1115" t="s">
        <v>952</v>
      </c>
      <c r="O1115" t="s">
        <v>680</v>
      </c>
    </row>
    <row r="1116" spans="1:15" x14ac:dyDescent="0.3">
      <c r="A1116" t="str">
        <f t="shared" si="17"/>
        <v>WDWP000274-R000-RCN</v>
      </c>
      <c r="B1116" t="s">
        <v>14</v>
      </c>
      <c r="C1116" t="s">
        <v>948</v>
      </c>
      <c r="D1116" t="s">
        <v>253</v>
      </c>
      <c r="E1116" t="s">
        <v>970</v>
      </c>
      <c r="F1116" t="s">
        <v>18</v>
      </c>
      <c r="G1116" t="s">
        <v>19</v>
      </c>
      <c r="H1116">
        <v>0</v>
      </c>
      <c r="I1116">
        <v>8</v>
      </c>
      <c r="J1116">
        <v>23510</v>
      </c>
      <c r="K1116">
        <v>188080</v>
      </c>
      <c r="L1116">
        <v>0</v>
      </c>
      <c r="M1116">
        <v>188080</v>
      </c>
      <c r="N1116" t="s">
        <v>952</v>
      </c>
      <c r="O1116" t="s">
        <v>680</v>
      </c>
    </row>
    <row r="1117" spans="1:15" x14ac:dyDescent="0.3">
      <c r="A1117" t="str">
        <f t="shared" si="17"/>
        <v>WDWP000274-R000-SO</v>
      </c>
      <c r="B1117" t="s">
        <v>14</v>
      </c>
      <c r="C1117" t="s">
        <v>948</v>
      </c>
      <c r="D1117" t="s">
        <v>301</v>
      </c>
      <c r="E1117" t="s">
        <v>971</v>
      </c>
      <c r="F1117" t="s">
        <v>18</v>
      </c>
      <c r="G1117" t="s">
        <v>210</v>
      </c>
      <c r="H1117">
        <v>0</v>
      </c>
      <c r="I1117">
        <v>250</v>
      </c>
      <c r="J1117">
        <v>22720</v>
      </c>
      <c r="K1117">
        <v>5680000</v>
      </c>
      <c r="L1117">
        <v>0</v>
      </c>
      <c r="M1117">
        <v>5680000</v>
      </c>
      <c r="N1117" t="s">
        <v>952</v>
      </c>
      <c r="O1117" t="s">
        <v>680</v>
      </c>
    </row>
    <row r="1118" spans="1:15" x14ac:dyDescent="0.3">
      <c r="A1118" t="str">
        <f t="shared" si="17"/>
        <v>WDWP000274-R000-SO</v>
      </c>
      <c r="B1118" t="s">
        <v>14</v>
      </c>
      <c r="C1118" t="s">
        <v>948</v>
      </c>
      <c r="D1118" t="s">
        <v>301</v>
      </c>
      <c r="E1118" t="s">
        <v>971</v>
      </c>
      <c r="F1118" t="s">
        <v>18</v>
      </c>
      <c r="G1118" t="s">
        <v>35</v>
      </c>
      <c r="H1118">
        <v>0</v>
      </c>
      <c r="I1118">
        <v>1390</v>
      </c>
      <c r="J1118">
        <v>22720</v>
      </c>
      <c r="K1118">
        <v>31580800</v>
      </c>
      <c r="L1118">
        <v>0</v>
      </c>
      <c r="M1118">
        <v>31580800</v>
      </c>
      <c r="N1118" t="s">
        <v>952</v>
      </c>
      <c r="O1118" t="s">
        <v>680</v>
      </c>
    </row>
    <row r="1119" spans="1:15" x14ac:dyDescent="0.3">
      <c r="A1119" t="str">
        <f t="shared" si="17"/>
        <v>WDWP000274-R000-SO</v>
      </c>
      <c r="B1119" t="s">
        <v>14</v>
      </c>
      <c r="C1119" t="s">
        <v>948</v>
      </c>
      <c r="D1119" t="s">
        <v>301</v>
      </c>
      <c r="E1119" t="s">
        <v>971</v>
      </c>
      <c r="F1119" t="s">
        <v>18</v>
      </c>
      <c r="G1119" t="s">
        <v>111</v>
      </c>
      <c r="H1119">
        <v>0</v>
      </c>
      <c r="I1119">
        <v>200</v>
      </c>
      <c r="J1119">
        <v>22720</v>
      </c>
      <c r="K1119">
        <v>4544000</v>
      </c>
      <c r="L1119">
        <v>0</v>
      </c>
      <c r="M1119">
        <v>4544000</v>
      </c>
      <c r="N1119" t="s">
        <v>952</v>
      </c>
      <c r="O1119" t="s">
        <v>680</v>
      </c>
    </row>
    <row r="1120" spans="1:15" x14ac:dyDescent="0.3">
      <c r="A1120" t="str">
        <f t="shared" si="17"/>
        <v>WDWP000274-R000-SO</v>
      </c>
      <c r="B1120" t="s">
        <v>14</v>
      </c>
      <c r="C1120" t="s">
        <v>948</v>
      </c>
      <c r="D1120" t="s">
        <v>301</v>
      </c>
      <c r="E1120" t="s">
        <v>971</v>
      </c>
      <c r="F1120" t="s">
        <v>18</v>
      </c>
      <c r="G1120" t="s">
        <v>26</v>
      </c>
      <c r="H1120">
        <v>0</v>
      </c>
      <c r="I1120">
        <v>20</v>
      </c>
      <c r="J1120">
        <v>22720</v>
      </c>
      <c r="K1120">
        <v>454400</v>
      </c>
      <c r="L1120">
        <v>0</v>
      </c>
      <c r="M1120">
        <v>454400</v>
      </c>
      <c r="N1120" t="s">
        <v>952</v>
      </c>
      <c r="O1120" t="s">
        <v>680</v>
      </c>
    </row>
    <row r="1121" spans="1:15" x14ac:dyDescent="0.3">
      <c r="A1121" t="str">
        <f t="shared" si="17"/>
        <v>WDWP000274-R000-SO</v>
      </c>
      <c r="B1121" t="s">
        <v>14</v>
      </c>
      <c r="C1121" t="s">
        <v>948</v>
      </c>
      <c r="D1121" t="s">
        <v>301</v>
      </c>
      <c r="E1121" t="s">
        <v>971</v>
      </c>
      <c r="F1121" t="s">
        <v>18</v>
      </c>
      <c r="G1121" t="s">
        <v>246</v>
      </c>
      <c r="H1121">
        <v>0</v>
      </c>
      <c r="I1121">
        <v>450</v>
      </c>
      <c r="J1121">
        <v>22720</v>
      </c>
      <c r="K1121">
        <v>10224000</v>
      </c>
      <c r="L1121">
        <v>0</v>
      </c>
      <c r="M1121">
        <v>10224000</v>
      </c>
      <c r="N1121" t="s">
        <v>952</v>
      </c>
      <c r="O1121" t="s">
        <v>680</v>
      </c>
    </row>
    <row r="1122" spans="1:15" x14ac:dyDescent="0.3">
      <c r="A1122" t="str">
        <f t="shared" si="17"/>
        <v>WDWP000274-R000-SO</v>
      </c>
      <c r="B1122" t="s">
        <v>14</v>
      </c>
      <c r="C1122" t="s">
        <v>948</v>
      </c>
      <c r="D1122" t="s">
        <v>301</v>
      </c>
      <c r="E1122" t="s">
        <v>971</v>
      </c>
      <c r="F1122" t="s">
        <v>18</v>
      </c>
      <c r="G1122" t="s">
        <v>174</v>
      </c>
      <c r="H1122">
        <v>0</v>
      </c>
      <c r="I1122">
        <v>66</v>
      </c>
      <c r="J1122">
        <v>22720</v>
      </c>
      <c r="K1122">
        <v>1499520</v>
      </c>
      <c r="L1122">
        <v>0</v>
      </c>
      <c r="M1122">
        <v>1499520</v>
      </c>
      <c r="N1122" t="s">
        <v>952</v>
      </c>
      <c r="O1122" t="s">
        <v>680</v>
      </c>
    </row>
    <row r="1123" spans="1:15" x14ac:dyDescent="0.3">
      <c r="A1123" t="str">
        <f t="shared" si="17"/>
        <v>WDWP000274-R000-SP</v>
      </c>
      <c r="B1123" t="s">
        <v>14</v>
      </c>
      <c r="C1123" t="s">
        <v>948</v>
      </c>
      <c r="D1123" t="s">
        <v>201</v>
      </c>
      <c r="E1123" t="s">
        <v>972</v>
      </c>
      <c r="F1123" t="s">
        <v>18</v>
      </c>
      <c r="G1123" t="s">
        <v>246</v>
      </c>
      <c r="H1123">
        <v>0</v>
      </c>
      <c r="I1123">
        <v>300</v>
      </c>
      <c r="J1123">
        <v>22920</v>
      </c>
      <c r="K1123">
        <v>6876000</v>
      </c>
      <c r="L1123">
        <v>0</v>
      </c>
      <c r="M1123">
        <v>6876000</v>
      </c>
      <c r="N1123" t="s">
        <v>952</v>
      </c>
      <c r="O1123" t="s">
        <v>680</v>
      </c>
    </row>
    <row r="1124" spans="1:15" x14ac:dyDescent="0.3">
      <c r="A1124" t="str">
        <f t="shared" si="17"/>
        <v>WDWP000274-R000-SP</v>
      </c>
      <c r="B1124" t="s">
        <v>14</v>
      </c>
      <c r="C1124" t="s">
        <v>948</v>
      </c>
      <c r="D1124" t="s">
        <v>201</v>
      </c>
      <c r="E1124" t="s">
        <v>972</v>
      </c>
      <c r="F1124" t="s">
        <v>18</v>
      </c>
      <c r="G1124" t="s">
        <v>239</v>
      </c>
      <c r="H1124">
        <v>0</v>
      </c>
      <c r="I1124">
        <v>100</v>
      </c>
      <c r="J1124">
        <v>23430</v>
      </c>
      <c r="K1124">
        <v>2343000</v>
      </c>
      <c r="L1124">
        <v>0</v>
      </c>
      <c r="M1124">
        <v>2343000</v>
      </c>
      <c r="N1124" t="s">
        <v>952</v>
      </c>
      <c r="O1124" t="s">
        <v>680</v>
      </c>
    </row>
    <row r="1125" spans="1:15" x14ac:dyDescent="0.3">
      <c r="A1125" t="str">
        <f t="shared" si="17"/>
        <v>WDWP000274-R000-SP</v>
      </c>
      <c r="B1125" t="s">
        <v>14</v>
      </c>
      <c r="C1125" t="s">
        <v>948</v>
      </c>
      <c r="D1125" t="s">
        <v>201</v>
      </c>
      <c r="E1125" t="s">
        <v>972</v>
      </c>
      <c r="F1125" t="s">
        <v>18</v>
      </c>
      <c r="G1125" t="s">
        <v>35</v>
      </c>
      <c r="H1125">
        <v>0</v>
      </c>
      <c r="I1125">
        <v>1450</v>
      </c>
      <c r="J1125">
        <v>22920</v>
      </c>
      <c r="K1125">
        <v>33234000</v>
      </c>
      <c r="L1125">
        <v>0</v>
      </c>
      <c r="M1125">
        <v>33234000</v>
      </c>
      <c r="N1125" t="s">
        <v>952</v>
      </c>
      <c r="O1125" t="s">
        <v>680</v>
      </c>
    </row>
    <row r="1126" spans="1:15" x14ac:dyDescent="0.3">
      <c r="A1126" t="str">
        <f t="shared" si="17"/>
        <v>WDWP000274-R000-SP</v>
      </c>
      <c r="B1126" t="s">
        <v>14</v>
      </c>
      <c r="C1126" t="s">
        <v>948</v>
      </c>
      <c r="D1126" t="s">
        <v>201</v>
      </c>
      <c r="E1126" t="s">
        <v>972</v>
      </c>
      <c r="F1126" t="s">
        <v>18</v>
      </c>
      <c r="G1126" t="s">
        <v>68</v>
      </c>
      <c r="H1126">
        <v>0</v>
      </c>
      <c r="I1126">
        <v>584</v>
      </c>
      <c r="J1126">
        <v>22920</v>
      </c>
      <c r="K1126">
        <v>13385280</v>
      </c>
      <c r="L1126">
        <v>0</v>
      </c>
      <c r="M1126">
        <v>13385280</v>
      </c>
      <c r="N1126" t="s">
        <v>952</v>
      </c>
      <c r="O1126" t="s">
        <v>680</v>
      </c>
    </row>
    <row r="1127" spans="1:15" x14ac:dyDescent="0.3">
      <c r="A1127" t="str">
        <f t="shared" si="17"/>
        <v>WDWP000274-R000-SP</v>
      </c>
      <c r="B1127" t="s">
        <v>14</v>
      </c>
      <c r="C1127" t="s">
        <v>948</v>
      </c>
      <c r="D1127" t="s">
        <v>201</v>
      </c>
      <c r="E1127" t="s">
        <v>972</v>
      </c>
      <c r="F1127" t="s">
        <v>18</v>
      </c>
      <c r="G1127" t="s">
        <v>19</v>
      </c>
      <c r="H1127">
        <v>0</v>
      </c>
      <c r="I1127">
        <v>650</v>
      </c>
      <c r="J1127">
        <v>22920</v>
      </c>
      <c r="K1127">
        <v>14898000</v>
      </c>
      <c r="L1127">
        <v>0</v>
      </c>
      <c r="M1127">
        <v>14898000</v>
      </c>
      <c r="N1127" t="s">
        <v>952</v>
      </c>
      <c r="O1127" t="s">
        <v>680</v>
      </c>
    </row>
    <row r="1128" spans="1:15" x14ac:dyDescent="0.3">
      <c r="A1128" t="str">
        <f t="shared" si="17"/>
        <v>WDWP000274-R000-SP</v>
      </c>
      <c r="B1128" t="s">
        <v>14</v>
      </c>
      <c r="C1128" t="s">
        <v>948</v>
      </c>
      <c r="D1128" t="s">
        <v>201</v>
      </c>
      <c r="E1128" t="s">
        <v>972</v>
      </c>
      <c r="F1128" t="s">
        <v>18</v>
      </c>
      <c r="G1128" t="s">
        <v>63</v>
      </c>
      <c r="H1128">
        <v>0</v>
      </c>
      <c r="I1128">
        <v>510</v>
      </c>
      <c r="J1128">
        <v>22920</v>
      </c>
      <c r="K1128">
        <v>11689200</v>
      </c>
      <c r="L1128">
        <v>0</v>
      </c>
      <c r="M1128">
        <v>11689200</v>
      </c>
      <c r="N1128" t="s">
        <v>952</v>
      </c>
      <c r="O1128" t="s">
        <v>680</v>
      </c>
    </row>
    <row r="1129" spans="1:15" x14ac:dyDescent="0.3">
      <c r="A1129" t="str">
        <f t="shared" si="17"/>
        <v>WDWP000274-R000-SP</v>
      </c>
      <c r="B1129" t="s">
        <v>14</v>
      </c>
      <c r="C1129" t="s">
        <v>948</v>
      </c>
      <c r="D1129" t="s">
        <v>201</v>
      </c>
      <c r="E1129" t="s">
        <v>972</v>
      </c>
      <c r="F1129" t="s">
        <v>18</v>
      </c>
      <c r="G1129" t="s">
        <v>174</v>
      </c>
      <c r="H1129">
        <v>0</v>
      </c>
      <c r="I1129">
        <v>630</v>
      </c>
      <c r="J1129">
        <v>22920</v>
      </c>
      <c r="K1129">
        <v>14439600</v>
      </c>
      <c r="L1129">
        <v>0</v>
      </c>
      <c r="M1129">
        <v>14439600</v>
      </c>
      <c r="N1129" t="s">
        <v>952</v>
      </c>
      <c r="O1129" t="s">
        <v>680</v>
      </c>
    </row>
    <row r="1130" spans="1:15" x14ac:dyDescent="0.3">
      <c r="A1130" t="str">
        <f t="shared" si="17"/>
        <v>WDWP000274-R000-SP</v>
      </c>
      <c r="B1130" t="s">
        <v>14</v>
      </c>
      <c r="C1130" t="s">
        <v>948</v>
      </c>
      <c r="D1130" t="s">
        <v>201</v>
      </c>
      <c r="E1130" t="s">
        <v>972</v>
      </c>
      <c r="F1130" t="s">
        <v>18</v>
      </c>
      <c r="G1130" t="s">
        <v>210</v>
      </c>
      <c r="H1130">
        <v>0</v>
      </c>
      <c r="I1130">
        <v>680</v>
      </c>
      <c r="J1130">
        <v>22920</v>
      </c>
      <c r="K1130">
        <v>15585600</v>
      </c>
      <c r="L1130">
        <v>0</v>
      </c>
      <c r="M1130">
        <v>15585600</v>
      </c>
      <c r="N1130" t="s">
        <v>952</v>
      </c>
      <c r="O1130" t="s">
        <v>680</v>
      </c>
    </row>
    <row r="1131" spans="1:15" x14ac:dyDescent="0.3">
      <c r="A1131" t="str">
        <f t="shared" si="17"/>
        <v>WDWP000274-R000-SP</v>
      </c>
      <c r="B1131" t="s">
        <v>14</v>
      </c>
      <c r="C1131" t="s">
        <v>948</v>
      </c>
      <c r="D1131" t="s">
        <v>201</v>
      </c>
      <c r="E1131" t="s">
        <v>972</v>
      </c>
      <c r="F1131" t="s">
        <v>18</v>
      </c>
      <c r="G1131" t="s">
        <v>111</v>
      </c>
      <c r="H1131">
        <v>0</v>
      </c>
      <c r="I1131">
        <v>1479</v>
      </c>
      <c r="J1131">
        <v>22920</v>
      </c>
      <c r="K1131">
        <v>33898680</v>
      </c>
      <c r="L1131">
        <v>0</v>
      </c>
      <c r="M1131">
        <v>33898680</v>
      </c>
      <c r="N1131" t="s">
        <v>952</v>
      </c>
      <c r="O1131" t="s">
        <v>680</v>
      </c>
    </row>
    <row r="1132" spans="1:15" x14ac:dyDescent="0.3">
      <c r="A1132" t="str">
        <f t="shared" si="17"/>
        <v>WDWP000274-R000-SP</v>
      </c>
      <c r="B1132" t="s">
        <v>14</v>
      </c>
      <c r="C1132" t="s">
        <v>948</v>
      </c>
      <c r="D1132" t="s">
        <v>201</v>
      </c>
      <c r="E1132" t="s">
        <v>972</v>
      </c>
      <c r="F1132" t="s">
        <v>18</v>
      </c>
      <c r="G1132" t="s">
        <v>49</v>
      </c>
      <c r="H1132">
        <v>0</v>
      </c>
      <c r="I1132">
        <v>341</v>
      </c>
      <c r="J1132">
        <v>22920</v>
      </c>
      <c r="K1132">
        <v>7815720</v>
      </c>
      <c r="L1132">
        <v>0</v>
      </c>
      <c r="M1132">
        <v>7815720</v>
      </c>
      <c r="N1132" t="s">
        <v>952</v>
      </c>
      <c r="O1132" t="s">
        <v>680</v>
      </c>
    </row>
    <row r="1133" spans="1:15" x14ac:dyDescent="0.3">
      <c r="A1133" t="str">
        <f t="shared" si="17"/>
        <v>WDWP000274-R000-SP</v>
      </c>
      <c r="B1133" t="s">
        <v>14</v>
      </c>
      <c r="C1133" t="s">
        <v>948</v>
      </c>
      <c r="D1133" t="s">
        <v>201</v>
      </c>
      <c r="E1133" t="s">
        <v>972</v>
      </c>
      <c r="F1133" t="s">
        <v>18</v>
      </c>
      <c r="G1133" t="s">
        <v>83</v>
      </c>
      <c r="H1133">
        <v>0</v>
      </c>
      <c r="I1133">
        <v>310</v>
      </c>
      <c r="J1133">
        <v>22920</v>
      </c>
      <c r="K1133">
        <v>7105200</v>
      </c>
      <c r="L1133">
        <v>0</v>
      </c>
      <c r="M1133">
        <v>7105200</v>
      </c>
      <c r="N1133" t="s">
        <v>952</v>
      </c>
      <c r="O1133" t="s">
        <v>680</v>
      </c>
    </row>
    <row r="1134" spans="1:15" x14ac:dyDescent="0.3">
      <c r="A1134" t="str">
        <f t="shared" si="17"/>
        <v>WDWP000274-R000-SP</v>
      </c>
      <c r="B1134" t="s">
        <v>14</v>
      </c>
      <c r="C1134" t="s">
        <v>948</v>
      </c>
      <c r="D1134" t="s">
        <v>201</v>
      </c>
      <c r="E1134" t="s">
        <v>972</v>
      </c>
      <c r="F1134" t="s">
        <v>18</v>
      </c>
      <c r="G1134" t="s">
        <v>26</v>
      </c>
      <c r="H1134">
        <v>0</v>
      </c>
      <c r="I1134">
        <v>190</v>
      </c>
      <c r="J1134">
        <v>22920</v>
      </c>
      <c r="K1134">
        <v>4354800</v>
      </c>
      <c r="L1134">
        <v>0</v>
      </c>
      <c r="M1134">
        <v>4354800</v>
      </c>
      <c r="N1134" t="s">
        <v>952</v>
      </c>
      <c r="O1134" t="s">
        <v>680</v>
      </c>
    </row>
    <row r="1135" spans="1:15" x14ac:dyDescent="0.3">
      <c r="A1135" t="str">
        <f t="shared" si="17"/>
        <v>WDWP000274-R000-TS</v>
      </c>
      <c r="B1135" t="s">
        <v>14</v>
      </c>
      <c r="C1135" t="s">
        <v>948</v>
      </c>
      <c r="D1135" t="s">
        <v>168</v>
      </c>
      <c r="E1135" t="s">
        <v>973</v>
      </c>
      <c r="F1135" t="s">
        <v>18</v>
      </c>
      <c r="G1135" t="s">
        <v>35</v>
      </c>
      <c r="H1135">
        <v>0</v>
      </c>
      <c r="I1135">
        <v>32</v>
      </c>
      <c r="J1135">
        <v>23290</v>
      </c>
      <c r="K1135">
        <v>745280</v>
      </c>
      <c r="L1135">
        <v>0</v>
      </c>
      <c r="M1135">
        <v>745280</v>
      </c>
      <c r="N1135" t="s">
        <v>725</v>
      </c>
      <c r="O1135" t="s">
        <v>680</v>
      </c>
    </row>
    <row r="1136" spans="1:15" x14ac:dyDescent="0.3">
      <c r="A1136" t="str">
        <f t="shared" si="17"/>
        <v>WDWP000274-R000-TS</v>
      </c>
      <c r="B1136" t="s">
        <v>14</v>
      </c>
      <c r="C1136" t="s">
        <v>948</v>
      </c>
      <c r="D1136" t="s">
        <v>168</v>
      </c>
      <c r="E1136" t="s">
        <v>973</v>
      </c>
      <c r="F1136" t="s">
        <v>18</v>
      </c>
      <c r="G1136" t="s">
        <v>26</v>
      </c>
      <c r="H1136">
        <v>0</v>
      </c>
      <c r="I1136">
        <v>53</v>
      </c>
      <c r="J1136">
        <v>23290</v>
      </c>
      <c r="K1136">
        <v>1234370</v>
      </c>
      <c r="L1136">
        <v>0</v>
      </c>
      <c r="M1136">
        <v>1234370</v>
      </c>
      <c r="N1136" t="s">
        <v>725</v>
      </c>
      <c r="O1136" t="s">
        <v>680</v>
      </c>
    </row>
    <row r="1137" spans="1:15" x14ac:dyDescent="0.3">
      <c r="A1137" t="str">
        <f t="shared" si="17"/>
        <v>WDWP000274-R000-UA</v>
      </c>
      <c r="B1137" t="s">
        <v>14</v>
      </c>
      <c r="C1137" t="s">
        <v>948</v>
      </c>
      <c r="D1137" t="s">
        <v>59</v>
      </c>
      <c r="E1137" t="s">
        <v>728</v>
      </c>
      <c r="F1137" t="s">
        <v>18</v>
      </c>
      <c r="G1137" t="s">
        <v>26</v>
      </c>
      <c r="H1137">
        <v>0</v>
      </c>
      <c r="I1137">
        <v>30</v>
      </c>
      <c r="J1137">
        <v>22380</v>
      </c>
      <c r="K1137">
        <v>671400</v>
      </c>
      <c r="L1137">
        <v>0</v>
      </c>
      <c r="M1137">
        <v>671400</v>
      </c>
      <c r="N1137" t="s">
        <v>683</v>
      </c>
      <c r="O1137" t="s">
        <v>680</v>
      </c>
    </row>
    <row r="1138" spans="1:15" x14ac:dyDescent="0.3">
      <c r="A1138" t="str">
        <f t="shared" si="17"/>
        <v>WDWP000274-R000-UM</v>
      </c>
      <c r="B1138" t="s">
        <v>14</v>
      </c>
      <c r="C1138" t="s">
        <v>948</v>
      </c>
      <c r="D1138" t="s">
        <v>278</v>
      </c>
      <c r="E1138" t="s">
        <v>1908</v>
      </c>
      <c r="F1138" t="s">
        <v>18</v>
      </c>
      <c r="G1138" t="s">
        <v>26</v>
      </c>
      <c r="H1138">
        <v>0</v>
      </c>
      <c r="I1138">
        <v>30</v>
      </c>
      <c r="J1138">
        <v>24190</v>
      </c>
      <c r="K1138">
        <v>725700</v>
      </c>
      <c r="L1138">
        <v>0</v>
      </c>
      <c r="M1138">
        <v>725700</v>
      </c>
      <c r="N1138" t="s">
        <v>683</v>
      </c>
      <c r="O1138" t="s">
        <v>680</v>
      </c>
    </row>
    <row r="1139" spans="1:15" x14ac:dyDescent="0.3">
      <c r="A1139" t="str">
        <f t="shared" si="17"/>
        <v>WDWP000274-R000-UM</v>
      </c>
      <c r="B1139" t="s">
        <v>14</v>
      </c>
      <c r="C1139" t="s">
        <v>948</v>
      </c>
      <c r="D1139" t="s">
        <v>278</v>
      </c>
      <c r="E1139" t="s">
        <v>1908</v>
      </c>
      <c r="F1139" t="s">
        <v>18</v>
      </c>
      <c r="G1139" t="s">
        <v>174</v>
      </c>
      <c r="H1139">
        <v>0</v>
      </c>
      <c r="I1139">
        <v>-60</v>
      </c>
      <c r="J1139">
        <v>23770</v>
      </c>
      <c r="K1139">
        <v>-1426200</v>
      </c>
      <c r="L1139">
        <v>0</v>
      </c>
      <c r="M1139">
        <v>-1426200</v>
      </c>
      <c r="N1139" t="s">
        <v>683</v>
      </c>
      <c r="O1139" t="s">
        <v>680</v>
      </c>
    </row>
    <row r="1140" spans="1:15" x14ac:dyDescent="0.3">
      <c r="A1140" t="str">
        <f t="shared" si="17"/>
        <v>WDWP000274-R000-WP</v>
      </c>
      <c r="B1140" t="s">
        <v>14</v>
      </c>
      <c r="C1140" t="s">
        <v>948</v>
      </c>
      <c r="D1140" t="s">
        <v>804</v>
      </c>
      <c r="E1140" t="s">
        <v>974</v>
      </c>
      <c r="F1140" t="s">
        <v>18</v>
      </c>
      <c r="G1140" t="s">
        <v>23</v>
      </c>
      <c r="H1140">
        <v>0</v>
      </c>
      <c r="I1140">
        <v>3</v>
      </c>
      <c r="J1140">
        <v>23260</v>
      </c>
      <c r="K1140">
        <v>69780</v>
      </c>
      <c r="L1140">
        <v>0</v>
      </c>
      <c r="M1140">
        <v>69780</v>
      </c>
      <c r="N1140" t="s">
        <v>683</v>
      </c>
      <c r="O1140" t="s">
        <v>680</v>
      </c>
    </row>
    <row r="1141" spans="1:15" x14ac:dyDescent="0.3">
      <c r="A1141" t="str">
        <f t="shared" si="17"/>
        <v>WDWP000274-R000-WW</v>
      </c>
      <c r="B1141" t="s">
        <v>14</v>
      </c>
      <c r="C1141" t="s">
        <v>948</v>
      </c>
      <c r="D1141" t="s">
        <v>28</v>
      </c>
      <c r="E1141" t="s">
        <v>724</v>
      </c>
      <c r="F1141" t="s">
        <v>18</v>
      </c>
      <c r="G1141" t="s">
        <v>63</v>
      </c>
      <c r="H1141">
        <v>0</v>
      </c>
      <c r="I1141">
        <v>90</v>
      </c>
      <c r="J1141">
        <v>21010</v>
      </c>
      <c r="K1141">
        <v>1890900</v>
      </c>
      <c r="L1141">
        <v>0</v>
      </c>
      <c r="M1141">
        <v>1890900</v>
      </c>
      <c r="N1141" t="s">
        <v>846</v>
      </c>
      <c r="O1141" t="s">
        <v>680</v>
      </c>
    </row>
    <row r="1142" spans="1:15" x14ac:dyDescent="0.3">
      <c r="A1142" t="str">
        <f t="shared" si="17"/>
        <v>WDWP000274-R000-WW</v>
      </c>
      <c r="B1142" t="s">
        <v>14</v>
      </c>
      <c r="C1142" t="s">
        <v>948</v>
      </c>
      <c r="D1142" t="s">
        <v>28</v>
      </c>
      <c r="E1142" t="s">
        <v>724</v>
      </c>
      <c r="F1142" t="s">
        <v>18</v>
      </c>
      <c r="G1142" t="s">
        <v>26</v>
      </c>
      <c r="H1142">
        <v>0</v>
      </c>
      <c r="I1142">
        <v>150</v>
      </c>
      <c r="J1142">
        <v>21010</v>
      </c>
      <c r="K1142">
        <v>3151500</v>
      </c>
      <c r="L1142">
        <v>0</v>
      </c>
      <c r="M1142">
        <v>3151500</v>
      </c>
      <c r="N1142" t="s">
        <v>846</v>
      </c>
      <c r="O1142" t="s">
        <v>680</v>
      </c>
    </row>
    <row r="1143" spans="1:15" x14ac:dyDescent="0.3">
      <c r="A1143" t="str">
        <f t="shared" si="17"/>
        <v>WDWP000274-R000-WW</v>
      </c>
      <c r="B1143" t="s">
        <v>14</v>
      </c>
      <c r="C1143" t="s">
        <v>948</v>
      </c>
      <c r="D1143" t="s">
        <v>28</v>
      </c>
      <c r="E1143" t="s">
        <v>724</v>
      </c>
      <c r="F1143" t="s">
        <v>18</v>
      </c>
      <c r="G1143" t="s">
        <v>210</v>
      </c>
      <c r="H1143">
        <v>0</v>
      </c>
      <c r="I1143">
        <v>550</v>
      </c>
      <c r="J1143">
        <v>21010</v>
      </c>
      <c r="K1143">
        <v>11555500</v>
      </c>
      <c r="L1143">
        <v>0</v>
      </c>
      <c r="M1143">
        <v>11555500</v>
      </c>
      <c r="N1143" t="s">
        <v>846</v>
      </c>
      <c r="O1143" t="s">
        <v>680</v>
      </c>
    </row>
    <row r="1144" spans="1:15" x14ac:dyDescent="0.3">
      <c r="A1144" t="str">
        <f t="shared" si="17"/>
        <v>WDWP000274-R000-WW</v>
      </c>
      <c r="B1144" t="s">
        <v>14</v>
      </c>
      <c r="C1144" t="s">
        <v>948</v>
      </c>
      <c r="D1144" t="s">
        <v>28</v>
      </c>
      <c r="E1144" t="s">
        <v>724</v>
      </c>
      <c r="F1144" t="s">
        <v>18</v>
      </c>
      <c r="G1144" t="s">
        <v>246</v>
      </c>
      <c r="H1144">
        <v>0</v>
      </c>
      <c r="I1144">
        <v>50</v>
      </c>
      <c r="J1144">
        <v>21010</v>
      </c>
      <c r="K1144">
        <v>1050500</v>
      </c>
      <c r="L1144">
        <v>0</v>
      </c>
      <c r="M1144">
        <v>1050500</v>
      </c>
      <c r="N1144" t="s">
        <v>846</v>
      </c>
      <c r="O1144" t="s">
        <v>680</v>
      </c>
    </row>
    <row r="1145" spans="1:15" x14ac:dyDescent="0.3">
      <c r="A1145" t="str">
        <f t="shared" si="17"/>
        <v>WDWP000274-R000-WW</v>
      </c>
      <c r="B1145" t="s">
        <v>14</v>
      </c>
      <c r="C1145" t="s">
        <v>948</v>
      </c>
      <c r="D1145" t="s">
        <v>28</v>
      </c>
      <c r="E1145" t="s">
        <v>724</v>
      </c>
      <c r="F1145" t="s">
        <v>18</v>
      </c>
      <c r="G1145" t="s">
        <v>35</v>
      </c>
      <c r="H1145">
        <v>0</v>
      </c>
      <c r="I1145">
        <v>1700</v>
      </c>
      <c r="J1145">
        <v>21010</v>
      </c>
      <c r="K1145">
        <v>35717000</v>
      </c>
      <c r="L1145">
        <v>0</v>
      </c>
      <c r="M1145">
        <v>35717000</v>
      </c>
      <c r="N1145" t="s">
        <v>846</v>
      </c>
      <c r="O1145" t="s">
        <v>680</v>
      </c>
    </row>
    <row r="1146" spans="1:15" x14ac:dyDescent="0.3">
      <c r="A1146" t="str">
        <f t="shared" si="17"/>
        <v>WDWP000274-R000-WW</v>
      </c>
      <c r="B1146" t="s">
        <v>14</v>
      </c>
      <c r="C1146" t="s">
        <v>948</v>
      </c>
      <c r="D1146" t="s">
        <v>28</v>
      </c>
      <c r="E1146" t="s">
        <v>724</v>
      </c>
      <c r="F1146" t="s">
        <v>18</v>
      </c>
      <c r="G1146" t="s">
        <v>284</v>
      </c>
      <c r="H1146">
        <v>0</v>
      </c>
      <c r="I1146">
        <v>50</v>
      </c>
      <c r="J1146">
        <v>21010</v>
      </c>
      <c r="K1146">
        <v>1050500</v>
      </c>
      <c r="L1146">
        <v>0</v>
      </c>
      <c r="M1146">
        <v>1050500</v>
      </c>
      <c r="N1146" t="s">
        <v>846</v>
      </c>
      <c r="O1146" t="s">
        <v>680</v>
      </c>
    </row>
    <row r="1147" spans="1:15" x14ac:dyDescent="0.3">
      <c r="A1147" t="str">
        <f t="shared" si="17"/>
        <v>WDWP000274-R000-WW</v>
      </c>
      <c r="B1147" t="s">
        <v>14</v>
      </c>
      <c r="C1147" t="s">
        <v>948</v>
      </c>
      <c r="D1147" t="s">
        <v>28</v>
      </c>
      <c r="E1147" t="s">
        <v>724</v>
      </c>
      <c r="F1147" t="s">
        <v>18</v>
      </c>
      <c r="G1147" t="s">
        <v>19</v>
      </c>
      <c r="H1147">
        <v>0</v>
      </c>
      <c r="I1147">
        <v>1097</v>
      </c>
      <c r="J1147">
        <v>21010</v>
      </c>
      <c r="K1147">
        <v>23047970</v>
      </c>
      <c r="L1147">
        <v>0</v>
      </c>
      <c r="M1147">
        <v>23047970</v>
      </c>
      <c r="N1147" t="s">
        <v>846</v>
      </c>
      <c r="O1147" t="s">
        <v>680</v>
      </c>
    </row>
    <row r="1148" spans="1:15" x14ac:dyDescent="0.3">
      <c r="A1148" t="str">
        <f t="shared" si="17"/>
        <v>WDWP000322-R000-FK</v>
      </c>
      <c r="B1148" t="s">
        <v>14</v>
      </c>
      <c r="C1148" t="s">
        <v>975</v>
      </c>
      <c r="D1148" t="s">
        <v>229</v>
      </c>
      <c r="E1148" t="s">
        <v>901</v>
      </c>
      <c r="F1148" t="s">
        <v>18</v>
      </c>
      <c r="G1148" t="s">
        <v>49</v>
      </c>
      <c r="H1148">
        <v>0</v>
      </c>
      <c r="I1148">
        <v>93</v>
      </c>
      <c r="J1148">
        <v>20940</v>
      </c>
      <c r="K1148">
        <v>1947420</v>
      </c>
      <c r="L1148">
        <v>0</v>
      </c>
      <c r="M1148">
        <v>1947420</v>
      </c>
      <c r="N1148" t="s">
        <v>705</v>
      </c>
      <c r="O1148" t="s">
        <v>680</v>
      </c>
    </row>
    <row r="1149" spans="1:15" x14ac:dyDescent="0.3">
      <c r="A1149" t="str">
        <f t="shared" si="17"/>
        <v>WDWP000322-R000-MAC</v>
      </c>
      <c r="B1149" t="s">
        <v>14</v>
      </c>
      <c r="C1149" t="s">
        <v>975</v>
      </c>
      <c r="D1149" t="s">
        <v>869</v>
      </c>
      <c r="E1149" t="s">
        <v>902</v>
      </c>
      <c r="F1149" t="s">
        <v>18</v>
      </c>
      <c r="G1149" t="s">
        <v>49</v>
      </c>
      <c r="H1149">
        <v>0</v>
      </c>
      <c r="I1149">
        <v>848</v>
      </c>
      <c r="J1149">
        <v>22090</v>
      </c>
      <c r="K1149">
        <v>18732320</v>
      </c>
      <c r="L1149">
        <v>0</v>
      </c>
      <c r="M1149">
        <v>18732320</v>
      </c>
      <c r="N1149" t="s">
        <v>976</v>
      </c>
      <c r="O1149" t="s">
        <v>680</v>
      </c>
    </row>
    <row r="1150" spans="1:15" x14ac:dyDescent="0.3">
      <c r="A1150" t="str">
        <f t="shared" si="17"/>
        <v>WDWP000322-R000-MAC</v>
      </c>
      <c r="B1150" t="s">
        <v>14</v>
      </c>
      <c r="C1150" t="s">
        <v>975</v>
      </c>
      <c r="D1150" t="s">
        <v>869</v>
      </c>
      <c r="E1150" t="s">
        <v>902</v>
      </c>
      <c r="F1150" t="s">
        <v>18</v>
      </c>
      <c r="G1150" t="s">
        <v>246</v>
      </c>
      <c r="H1150">
        <v>0</v>
      </c>
      <c r="I1150">
        <v>547</v>
      </c>
      <c r="J1150">
        <v>22090</v>
      </c>
      <c r="K1150">
        <v>12083230</v>
      </c>
      <c r="L1150">
        <v>0</v>
      </c>
      <c r="M1150">
        <v>12083230</v>
      </c>
      <c r="N1150" t="s">
        <v>976</v>
      </c>
      <c r="O1150" t="s">
        <v>680</v>
      </c>
    </row>
    <row r="1151" spans="1:15" x14ac:dyDescent="0.3">
      <c r="A1151" t="str">
        <f t="shared" si="17"/>
        <v>WDWP000322-R000-WW</v>
      </c>
      <c r="B1151" t="s">
        <v>14</v>
      </c>
      <c r="C1151" t="s">
        <v>975</v>
      </c>
      <c r="D1151" t="s">
        <v>28</v>
      </c>
      <c r="E1151" t="s">
        <v>978</v>
      </c>
      <c r="F1151" t="s">
        <v>18</v>
      </c>
      <c r="G1151" t="s">
        <v>119</v>
      </c>
      <c r="H1151">
        <v>0</v>
      </c>
      <c r="I1151">
        <v>45</v>
      </c>
      <c r="J1151">
        <v>20190</v>
      </c>
      <c r="K1151">
        <v>908550</v>
      </c>
      <c r="L1151">
        <v>0</v>
      </c>
      <c r="M1151">
        <v>908550</v>
      </c>
      <c r="N1151" t="s">
        <v>705</v>
      </c>
      <c r="O1151" t="s">
        <v>680</v>
      </c>
    </row>
    <row r="1152" spans="1:15" x14ac:dyDescent="0.3">
      <c r="A1152" t="str">
        <f t="shared" si="17"/>
        <v>WDWP000322-R000-WW</v>
      </c>
      <c r="B1152" t="s">
        <v>14</v>
      </c>
      <c r="C1152" t="s">
        <v>975</v>
      </c>
      <c r="D1152" t="s">
        <v>28</v>
      </c>
      <c r="E1152" t="s">
        <v>978</v>
      </c>
      <c r="F1152" t="s">
        <v>18</v>
      </c>
      <c r="G1152" t="s">
        <v>239</v>
      </c>
      <c r="H1152">
        <v>0</v>
      </c>
      <c r="I1152">
        <v>70</v>
      </c>
      <c r="J1152">
        <v>20190</v>
      </c>
      <c r="K1152">
        <v>1413300</v>
      </c>
      <c r="L1152">
        <v>0</v>
      </c>
      <c r="M1152">
        <v>1413300</v>
      </c>
      <c r="N1152" t="s">
        <v>705</v>
      </c>
      <c r="O1152" t="s">
        <v>680</v>
      </c>
    </row>
    <row r="1153" spans="1:15" x14ac:dyDescent="0.3">
      <c r="A1153" t="str">
        <f t="shared" si="17"/>
        <v>WDWP000381-R000-CZ</v>
      </c>
      <c r="B1153" t="s">
        <v>14</v>
      </c>
      <c r="C1153" t="s">
        <v>979</v>
      </c>
      <c r="D1153" t="s">
        <v>861</v>
      </c>
      <c r="E1153" t="s">
        <v>980</v>
      </c>
      <c r="F1153" t="s">
        <v>18</v>
      </c>
      <c r="G1153" t="s">
        <v>49</v>
      </c>
      <c r="H1153">
        <v>0</v>
      </c>
      <c r="I1153">
        <v>32</v>
      </c>
      <c r="J1153">
        <v>18150</v>
      </c>
      <c r="K1153">
        <v>580800</v>
      </c>
      <c r="L1153">
        <v>0</v>
      </c>
      <c r="M1153">
        <v>580800</v>
      </c>
      <c r="N1153" t="s">
        <v>981</v>
      </c>
      <c r="O1153" t="s">
        <v>680</v>
      </c>
    </row>
    <row r="1154" spans="1:15" x14ac:dyDescent="0.3">
      <c r="A1154" t="str">
        <f t="shared" si="17"/>
        <v>WDWP000381-R000-OS</v>
      </c>
      <c r="B1154" t="s">
        <v>14</v>
      </c>
      <c r="C1154" t="s">
        <v>979</v>
      </c>
      <c r="D1154" t="s">
        <v>264</v>
      </c>
      <c r="E1154" t="s">
        <v>969</v>
      </c>
      <c r="F1154" t="s">
        <v>18</v>
      </c>
      <c r="G1154" t="s">
        <v>63</v>
      </c>
      <c r="H1154">
        <v>0</v>
      </c>
      <c r="I1154">
        <v>180</v>
      </c>
      <c r="J1154">
        <v>17230</v>
      </c>
      <c r="K1154">
        <v>3101400</v>
      </c>
      <c r="L1154">
        <v>0</v>
      </c>
      <c r="M1154">
        <v>3101400</v>
      </c>
      <c r="N1154" t="s">
        <v>983</v>
      </c>
      <c r="O1154" t="s">
        <v>680</v>
      </c>
    </row>
    <row r="1155" spans="1:15" x14ac:dyDescent="0.3">
      <c r="A1155" t="str">
        <f t="shared" ref="A1155:A1218" si="18">C1155&amp;"-"&amp;D1155</f>
        <v>WDWP000730-R000-WW</v>
      </c>
      <c r="B1155" t="s">
        <v>14</v>
      </c>
      <c r="C1155" t="s">
        <v>984</v>
      </c>
      <c r="D1155" t="s">
        <v>28</v>
      </c>
      <c r="E1155" t="s">
        <v>985</v>
      </c>
      <c r="F1155" t="s">
        <v>18</v>
      </c>
      <c r="G1155" t="s">
        <v>49</v>
      </c>
      <c r="H1155">
        <v>0</v>
      </c>
      <c r="I1155">
        <v>1225</v>
      </c>
      <c r="J1155">
        <v>35610</v>
      </c>
      <c r="K1155">
        <v>43622250</v>
      </c>
      <c r="L1155">
        <v>0</v>
      </c>
      <c r="M1155">
        <v>43622250</v>
      </c>
      <c r="N1155" t="s">
        <v>986</v>
      </c>
      <c r="O1155" t="s">
        <v>680</v>
      </c>
    </row>
    <row r="1156" spans="1:15" x14ac:dyDescent="0.3">
      <c r="A1156" t="str">
        <f t="shared" si="18"/>
        <v>WDWP000730-R000-WW</v>
      </c>
      <c r="B1156" t="s">
        <v>14</v>
      </c>
      <c r="C1156" t="s">
        <v>984</v>
      </c>
      <c r="D1156" t="s">
        <v>28</v>
      </c>
      <c r="E1156" t="s">
        <v>985</v>
      </c>
      <c r="F1156" t="s">
        <v>18</v>
      </c>
      <c r="G1156" t="s">
        <v>239</v>
      </c>
      <c r="H1156">
        <v>0</v>
      </c>
      <c r="I1156">
        <v>1862</v>
      </c>
      <c r="J1156">
        <v>35610</v>
      </c>
      <c r="K1156">
        <v>66305820</v>
      </c>
      <c r="L1156">
        <v>0</v>
      </c>
      <c r="M1156">
        <v>66305820</v>
      </c>
      <c r="N1156" t="s">
        <v>986</v>
      </c>
      <c r="O1156" t="s">
        <v>680</v>
      </c>
    </row>
    <row r="1157" spans="1:15" x14ac:dyDescent="0.3">
      <c r="A1157" t="str">
        <f t="shared" si="18"/>
        <v>WDWP000730-R000-WW</v>
      </c>
      <c r="B1157" t="s">
        <v>14</v>
      </c>
      <c r="C1157" t="s">
        <v>984</v>
      </c>
      <c r="D1157" t="s">
        <v>28</v>
      </c>
      <c r="E1157" t="s">
        <v>985</v>
      </c>
      <c r="F1157" t="s">
        <v>18</v>
      </c>
      <c r="G1157" t="s">
        <v>19</v>
      </c>
      <c r="H1157">
        <v>0</v>
      </c>
      <c r="I1157">
        <v>118</v>
      </c>
      <c r="J1157">
        <v>35610</v>
      </c>
      <c r="K1157">
        <v>4201980</v>
      </c>
      <c r="L1157">
        <v>0</v>
      </c>
      <c r="M1157">
        <v>4201980</v>
      </c>
      <c r="N1157" t="s">
        <v>986</v>
      </c>
      <c r="O1157" t="s">
        <v>680</v>
      </c>
    </row>
    <row r="1158" spans="1:15" x14ac:dyDescent="0.3">
      <c r="A1158" t="str">
        <f t="shared" si="18"/>
        <v>WDWP000730-R000-WW</v>
      </c>
      <c r="B1158" t="s">
        <v>14</v>
      </c>
      <c r="C1158" t="s">
        <v>984</v>
      </c>
      <c r="D1158" t="s">
        <v>28</v>
      </c>
      <c r="E1158" t="s">
        <v>985</v>
      </c>
      <c r="F1158" t="s">
        <v>18</v>
      </c>
      <c r="G1158" t="s">
        <v>248</v>
      </c>
      <c r="H1158">
        <v>0</v>
      </c>
      <c r="I1158">
        <v>440</v>
      </c>
      <c r="J1158">
        <v>35610</v>
      </c>
      <c r="K1158">
        <v>15668400</v>
      </c>
      <c r="L1158">
        <v>0</v>
      </c>
      <c r="M1158">
        <v>15668400</v>
      </c>
      <c r="N1158" t="s">
        <v>986</v>
      </c>
      <c r="O1158" t="s">
        <v>680</v>
      </c>
    </row>
    <row r="1159" spans="1:15" x14ac:dyDescent="0.3">
      <c r="A1159" t="str">
        <f t="shared" si="18"/>
        <v>WDWP000951-R000-NCGYM</v>
      </c>
      <c r="B1159" t="s">
        <v>14</v>
      </c>
      <c r="C1159" t="s">
        <v>990</v>
      </c>
      <c r="D1159" t="s">
        <v>876</v>
      </c>
      <c r="E1159" t="s">
        <v>991</v>
      </c>
      <c r="F1159" t="s">
        <v>18</v>
      </c>
      <c r="G1159" t="s">
        <v>49</v>
      </c>
      <c r="H1159">
        <v>0</v>
      </c>
      <c r="I1159">
        <v>70</v>
      </c>
      <c r="J1159">
        <v>44340</v>
      </c>
      <c r="K1159">
        <v>3103800</v>
      </c>
      <c r="L1159">
        <v>0</v>
      </c>
      <c r="M1159">
        <v>3103800</v>
      </c>
      <c r="N1159" t="s">
        <v>992</v>
      </c>
      <c r="O1159" t="s">
        <v>680</v>
      </c>
    </row>
    <row r="1160" spans="1:15" x14ac:dyDescent="0.3">
      <c r="A1160" t="str">
        <f t="shared" si="18"/>
        <v>WDWP000951-R000-WW</v>
      </c>
      <c r="B1160" t="s">
        <v>14</v>
      </c>
      <c r="C1160" t="s">
        <v>990</v>
      </c>
      <c r="D1160" t="s">
        <v>28</v>
      </c>
      <c r="E1160" t="s">
        <v>993</v>
      </c>
      <c r="F1160" t="s">
        <v>18</v>
      </c>
      <c r="G1160" t="s">
        <v>49</v>
      </c>
      <c r="H1160">
        <v>0</v>
      </c>
      <c r="I1160">
        <v>3105</v>
      </c>
      <c r="J1160">
        <v>42600</v>
      </c>
      <c r="K1160">
        <v>132273000</v>
      </c>
      <c r="L1160">
        <v>0</v>
      </c>
      <c r="M1160">
        <v>132273000</v>
      </c>
      <c r="N1160" t="s">
        <v>994</v>
      </c>
      <c r="O1160" t="s">
        <v>680</v>
      </c>
    </row>
    <row r="1161" spans="1:15" x14ac:dyDescent="0.3">
      <c r="A1161" t="str">
        <f t="shared" si="18"/>
        <v>WDWP000951-R000-WW</v>
      </c>
      <c r="B1161" t="s">
        <v>14</v>
      </c>
      <c r="C1161" t="s">
        <v>990</v>
      </c>
      <c r="D1161" t="s">
        <v>28</v>
      </c>
      <c r="E1161" t="s">
        <v>993</v>
      </c>
      <c r="F1161" t="s">
        <v>18</v>
      </c>
      <c r="G1161" t="s">
        <v>246</v>
      </c>
      <c r="H1161">
        <v>0</v>
      </c>
      <c r="I1161">
        <v>1960</v>
      </c>
      <c r="J1161">
        <v>42600</v>
      </c>
      <c r="K1161">
        <v>83496000</v>
      </c>
      <c r="L1161">
        <v>0</v>
      </c>
      <c r="M1161">
        <v>83496000</v>
      </c>
      <c r="N1161" t="s">
        <v>994</v>
      </c>
      <c r="O1161" t="s">
        <v>680</v>
      </c>
    </row>
    <row r="1162" spans="1:15" x14ac:dyDescent="0.3">
      <c r="A1162" t="str">
        <f t="shared" si="18"/>
        <v>WDWP001105-R000-OAT</v>
      </c>
      <c r="B1162" t="s">
        <v>14</v>
      </c>
      <c r="C1162" t="s">
        <v>995</v>
      </c>
      <c r="D1162" t="s">
        <v>223</v>
      </c>
      <c r="E1162" t="s">
        <v>996</v>
      </c>
      <c r="F1162" t="s">
        <v>18</v>
      </c>
      <c r="G1162" t="s">
        <v>246</v>
      </c>
      <c r="H1162">
        <v>0</v>
      </c>
      <c r="I1162">
        <v>100</v>
      </c>
      <c r="J1162">
        <v>21850</v>
      </c>
      <c r="K1162">
        <v>2185000</v>
      </c>
      <c r="L1162">
        <v>0</v>
      </c>
      <c r="M1162">
        <v>2185000</v>
      </c>
      <c r="N1162" t="s">
        <v>997</v>
      </c>
      <c r="O1162" t="s">
        <v>680</v>
      </c>
    </row>
    <row r="1163" spans="1:15" x14ac:dyDescent="0.3">
      <c r="A1163" t="str">
        <f t="shared" si="18"/>
        <v>WDWP001105-R000-OAT</v>
      </c>
      <c r="B1163" t="s">
        <v>14</v>
      </c>
      <c r="C1163" t="s">
        <v>995</v>
      </c>
      <c r="D1163" t="s">
        <v>223</v>
      </c>
      <c r="E1163" t="s">
        <v>996</v>
      </c>
      <c r="F1163" t="s">
        <v>18</v>
      </c>
      <c r="G1163" t="s">
        <v>19</v>
      </c>
      <c r="H1163">
        <v>0</v>
      </c>
      <c r="I1163">
        <v>100</v>
      </c>
      <c r="J1163">
        <v>21850</v>
      </c>
      <c r="K1163">
        <v>2185000</v>
      </c>
      <c r="L1163">
        <v>0</v>
      </c>
      <c r="M1163">
        <v>2185000</v>
      </c>
      <c r="N1163" t="s">
        <v>997</v>
      </c>
      <c r="O1163" t="s">
        <v>680</v>
      </c>
    </row>
    <row r="1164" spans="1:15" x14ac:dyDescent="0.3">
      <c r="A1164" t="str">
        <f t="shared" si="18"/>
        <v>WDWP001205-R000-GYM</v>
      </c>
      <c r="B1164" t="s">
        <v>14</v>
      </c>
      <c r="C1164" t="s">
        <v>998</v>
      </c>
      <c r="D1164" t="s">
        <v>570</v>
      </c>
      <c r="E1164" t="s">
        <v>999</v>
      </c>
      <c r="F1164" t="s">
        <v>18</v>
      </c>
      <c r="G1164" t="s">
        <v>246</v>
      </c>
      <c r="H1164">
        <v>0</v>
      </c>
      <c r="I1164">
        <v>101</v>
      </c>
      <c r="J1164">
        <v>15320</v>
      </c>
      <c r="K1164">
        <v>1547320</v>
      </c>
      <c r="L1164">
        <v>0</v>
      </c>
      <c r="M1164">
        <v>1547320</v>
      </c>
      <c r="N1164" t="s">
        <v>1000</v>
      </c>
      <c r="O1164" t="s">
        <v>680</v>
      </c>
    </row>
    <row r="1165" spans="1:15" x14ac:dyDescent="0.3">
      <c r="A1165" t="str">
        <f t="shared" si="18"/>
        <v>WDWP001206-R000-FK</v>
      </c>
      <c r="B1165" t="s">
        <v>14</v>
      </c>
      <c r="C1165" t="s">
        <v>1001</v>
      </c>
      <c r="D1165" t="s">
        <v>229</v>
      </c>
      <c r="E1165" t="s">
        <v>1002</v>
      </c>
      <c r="F1165" t="s">
        <v>18</v>
      </c>
      <c r="G1165" t="s">
        <v>210</v>
      </c>
      <c r="H1165">
        <v>0</v>
      </c>
      <c r="I1165">
        <v>180</v>
      </c>
      <c r="J1165">
        <v>19630</v>
      </c>
      <c r="K1165">
        <v>3533400</v>
      </c>
      <c r="L1165">
        <v>0</v>
      </c>
      <c r="M1165">
        <v>3533400</v>
      </c>
      <c r="N1165" t="s">
        <v>727</v>
      </c>
      <c r="O1165" t="s">
        <v>680</v>
      </c>
    </row>
    <row r="1166" spans="1:15" x14ac:dyDescent="0.3">
      <c r="A1166" t="str">
        <f t="shared" si="18"/>
        <v>WDWP001206-R000-FK</v>
      </c>
      <c r="B1166" t="s">
        <v>14</v>
      </c>
      <c r="C1166" t="s">
        <v>1001</v>
      </c>
      <c r="D1166" t="s">
        <v>229</v>
      </c>
      <c r="E1166" t="s">
        <v>1002</v>
      </c>
      <c r="F1166" t="s">
        <v>18</v>
      </c>
      <c r="G1166" t="s">
        <v>1855</v>
      </c>
      <c r="H1166">
        <v>0</v>
      </c>
      <c r="I1166">
        <v>10</v>
      </c>
      <c r="J1166">
        <v>19630</v>
      </c>
      <c r="K1166">
        <v>196300</v>
      </c>
      <c r="L1166">
        <v>0</v>
      </c>
      <c r="M1166">
        <v>196300</v>
      </c>
      <c r="N1166" t="s">
        <v>727</v>
      </c>
      <c r="O1166" t="s">
        <v>680</v>
      </c>
    </row>
    <row r="1167" spans="1:15" x14ac:dyDescent="0.3">
      <c r="A1167" t="str">
        <f t="shared" si="18"/>
        <v>WDWP001206-R000-FK</v>
      </c>
      <c r="B1167" t="s">
        <v>14</v>
      </c>
      <c r="C1167" t="s">
        <v>1001</v>
      </c>
      <c r="D1167" t="s">
        <v>229</v>
      </c>
      <c r="E1167" t="s">
        <v>1002</v>
      </c>
      <c r="F1167" t="s">
        <v>18</v>
      </c>
      <c r="G1167" t="s">
        <v>35</v>
      </c>
      <c r="H1167">
        <v>0</v>
      </c>
      <c r="I1167">
        <v>718</v>
      </c>
      <c r="J1167">
        <v>19630</v>
      </c>
      <c r="K1167">
        <v>14094340</v>
      </c>
      <c r="L1167">
        <v>0</v>
      </c>
      <c r="M1167">
        <v>14094340</v>
      </c>
      <c r="N1167" t="s">
        <v>727</v>
      </c>
      <c r="O1167" t="s">
        <v>680</v>
      </c>
    </row>
    <row r="1168" spans="1:15" x14ac:dyDescent="0.3">
      <c r="A1168" t="str">
        <f t="shared" si="18"/>
        <v>WDWP001360-R000-WW</v>
      </c>
      <c r="B1168" t="s">
        <v>14</v>
      </c>
      <c r="C1168" t="s">
        <v>1003</v>
      </c>
      <c r="D1168" t="s">
        <v>28</v>
      </c>
      <c r="E1168" t="s">
        <v>1004</v>
      </c>
      <c r="F1168" t="s">
        <v>18</v>
      </c>
      <c r="G1168" t="s">
        <v>49</v>
      </c>
      <c r="H1168">
        <v>0</v>
      </c>
      <c r="I1168">
        <v>3360</v>
      </c>
      <c r="J1168">
        <v>27320</v>
      </c>
      <c r="K1168">
        <v>91795200</v>
      </c>
      <c r="L1168">
        <v>0</v>
      </c>
      <c r="M1168">
        <v>91795200</v>
      </c>
      <c r="N1168" t="s">
        <v>1005</v>
      </c>
      <c r="O1168" t="s">
        <v>680</v>
      </c>
    </row>
    <row r="1169" spans="1:15" x14ac:dyDescent="0.3">
      <c r="A1169" t="str">
        <f t="shared" si="18"/>
        <v>WDWP001806-R000-FK</v>
      </c>
      <c r="B1169" t="s">
        <v>14</v>
      </c>
      <c r="C1169" t="s">
        <v>1006</v>
      </c>
      <c r="D1169" t="s">
        <v>229</v>
      </c>
      <c r="E1169" t="s">
        <v>1007</v>
      </c>
      <c r="F1169" t="s">
        <v>18</v>
      </c>
      <c r="G1169" t="s">
        <v>49</v>
      </c>
      <c r="H1169">
        <v>0</v>
      </c>
      <c r="I1169">
        <v>599</v>
      </c>
      <c r="J1169">
        <v>44340</v>
      </c>
      <c r="K1169">
        <v>26559660</v>
      </c>
      <c r="L1169">
        <v>0</v>
      </c>
      <c r="M1169">
        <v>26559660</v>
      </c>
      <c r="N1169" t="s">
        <v>994</v>
      </c>
      <c r="O1169" t="s">
        <v>680</v>
      </c>
    </row>
    <row r="1170" spans="1:15" x14ac:dyDescent="0.3">
      <c r="A1170" t="str">
        <f t="shared" si="18"/>
        <v>WDWP001806-R000-FK</v>
      </c>
      <c r="B1170" t="s">
        <v>14</v>
      </c>
      <c r="C1170" t="s">
        <v>1006</v>
      </c>
      <c r="D1170" t="s">
        <v>229</v>
      </c>
      <c r="E1170" t="s">
        <v>1007</v>
      </c>
      <c r="F1170" t="s">
        <v>18</v>
      </c>
      <c r="G1170" t="s">
        <v>246</v>
      </c>
      <c r="H1170">
        <v>0</v>
      </c>
      <c r="I1170">
        <v>595</v>
      </c>
      <c r="J1170">
        <v>44340</v>
      </c>
      <c r="K1170">
        <v>26382300</v>
      </c>
      <c r="L1170">
        <v>0</v>
      </c>
      <c r="M1170">
        <v>26382300</v>
      </c>
      <c r="N1170" t="s">
        <v>994</v>
      </c>
      <c r="O1170" t="s">
        <v>680</v>
      </c>
    </row>
    <row r="1171" spans="1:15" x14ac:dyDescent="0.3">
      <c r="A1171" t="str">
        <f t="shared" si="18"/>
        <v>WDWP001806-R000-ML</v>
      </c>
      <c r="B1171" t="s">
        <v>14</v>
      </c>
      <c r="C1171" t="s">
        <v>1006</v>
      </c>
      <c r="D1171" t="s">
        <v>755</v>
      </c>
      <c r="E1171" t="s">
        <v>1008</v>
      </c>
      <c r="F1171" t="s">
        <v>18</v>
      </c>
      <c r="G1171" t="s">
        <v>246</v>
      </c>
      <c r="H1171">
        <v>0</v>
      </c>
      <c r="I1171">
        <v>630</v>
      </c>
      <c r="J1171">
        <v>44340</v>
      </c>
      <c r="K1171">
        <v>27934200</v>
      </c>
      <c r="L1171">
        <v>0</v>
      </c>
      <c r="M1171">
        <v>27934200</v>
      </c>
      <c r="N1171" t="s">
        <v>994</v>
      </c>
      <c r="O1171" t="s">
        <v>680</v>
      </c>
    </row>
    <row r="1172" spans="1:15" x14ac:dyDescent="0.3">
      <c r="A1172" t="str">
        <f t="shared" si="18"/>
        <v>WDWP001806-R000-ML</v>
      </c>
      <c r="B1172" t="s">
        <v>14</v>
      </c>
      <c r="C1172" t="s">
        <v>1006</v>
      </c>
      <c r="D1172" t="s">
        <v>755</v>
      </c>
      <c r="E1172" t="s">
        <v>1008</v>
      </c>
      <c r="F1172" t="s">
        <v>18</v>
      </c>
      <c r="G1172" t="s">
        <v>49</v>
      </c>
      <c r="H1172">
        <v>0</v>
      </c>
      <c r="I1172">
        <v>842</v>
      </c>
      <c r="J1172">
        <v>44340</v>
      </c>
      <c r="K1172">
        <v>37334280</v>
      </c>
      <c r="L1172">
        <v>0</v>
      </c>
      <c r="M1172">
        <v>37334280</v>
      </c>
      <c r="N1172" t="s">
        <v>994</v>
      </c>
      <c r="O1172" t="s">
        <v>680</v>
      </c>
    </row>
    <row r="1173" spans="1:15" x14ac:dyDescent="0.3">
      <c r="A1173" t="str">
        <f t="shared" si="18"/>
        <v>WDWP001817-R000-NCGYM</v>
      </c>
      <c r="B1173" t="s">
        <v>14</v>
      </c>
      <c r="C1173" t="s">
        <v>1009</v>
      </c>
      <c r="D1173" t="s">
        <v>876</v>
      </c>
      <c r="E1173" t="s">
        <v>1010</v>
      </c>
      <c r="F1173" t="s">
        <v>18</v>
      </c>
      <c r="G1173" t="s">
        <v>35</v>
      </c>
      <c r="H1173">
        <v>0</v>
      </c>
      <c r="I1173">
        <v>80</v>
      </c>
      <c r="J1173">
        <v>37350</v>
      </c>
      <c r="K1173">
        <v>2988000</v>
      </c>
      <c r="L1173">
        <v>0</v>
      </c>
      <c r="M1173">
        <v>2988000</v>
      </c>
      <c r="N1173" t="s">
        <v>1011</v>
      </c>
      <c r="O1173" t="s">
        <v>680</v>
      </c>
    </row>
    <row r="1174" spans="1:15" x14ac:dyDescent="0.3">
      <c r="A1174" t="str">
        <f t="shared" si="18"/>
        <v>WDWP002205-R000-HW</v>
      </c>
      <c r="B1174" t="s">
        <v>14</v>
      </c>
      <c r="C1174" t="s">
        <v>1012</v>
      </c>
      <c r="D1174" t="s">
        <v>867</v>
      </c>
      <c r="E1174" t="s">
        <v>1013</v>
      </c>
      <c r="F1174" t="s">
        <v>18</v>
      </c>
      <c r="G1174" t="s">
        <v>19</v>
      </c>
      <c r="H1174">
        <v>0</v>
      </c>
      <c r="I1174">
        <v>160</v>
      </c>
      <c r="J1174">
        <v>19890</v>
      </c>
      <c r="K1174">
        <v>3182400</v>
      </c>
      <c r="L1174">
        <v>0</v>
      </c>
      <c r="M1174">
        <v>3182400</v>
      </c>
      <c r="N1174" t="s">
        <v>679</v>
      </c>
      <c r="O1174" t="s">
        <v>680</v>
      </c>
    </row>
    <row r="1175" spans="1:15" x14ac:dyDescent="0.3">
      <c r="A1175" t="str">
        <f t="shared" si="18"/>
        <v>WDWP002294-P000-OAT</v>
      </c>
      <c r="B1175" t="s">
        <v>14</v>
      </c>
      <c r="C1175" t="s">
        <v>1909</v>
      </c>
      <c r="D1175" t="s">
        <v>223</v>
      </c>
      <c r="E1175" t="s">
        <v>1910</v>
      </c>
      <c r="F1175" t="s">
        <v>18</v>
      </c>
      <c r="G1175" t="s">
        <v>49</v>
      </c>
      <c r="H1175">
        <v>0</v>
      </c>
      <c r="I1175">
        <v>10</v>
      </c>
      <c r="J1175">
        <v>23220</v>
      </c>
      <c r="K1175">
        <v>232200</v>
      </c>
      <c r="L1175">
        <v>0</v>
      </c>
      <c r="M1175">
        <v>232200</v>
      </c>
      <c r="N1175" t="s">
        <v>1911</v>
      </c>
      <c r="O1175" t="s">
        <v>680</v>
      </c>
    </row>
    <row r="1176" spans="1:15" x14ac:dyDescent="0.3">
      <c r="A1176" t="str">
        <f t="shared" si="18"/>
        <v>WDWP002295-P000-OAT</v>
      </c>
      <c r="B1176" t="s">
        <v>14</v>
      </c>
      <c r="C1176" t="s">
        <v>1912</v>
      </c>
      <c r="D1176" t="s">
        <v>223</v>
      </c>
      <c r="E1176" t="s">
        <v>1913</v>
      </c>
      <c r="F1176" t="s">
        <v>18</v>
      </c>
      <c r="G1176" t="s">
        <v>19</v>
      </c>
      <c r="H1176">
        <v>0</v>
      </c>
      <c r="I1176">
        <v>90</v>
      </c>
      <c r="J1176">
        <v>28750</v>
      </c>
      <c r="K1176">
        <v>2587500</v>
      </c>
      <c r="L1176">
        <v>0</v>
      </c>
      <c r="M1176">
        <v>2587500</v>
      </c>
      <c r="N1176" t="s">
        <v>1060</v>
      </c>
      <c r="O1176" t="s">
        <v>680</v>
      </c>
    </row>
    <row r="1177" spans="1:15" x14ac:dyDescent="0.3">
      <c r="A1177" t="str">
        <f t="shared" si="18"/>
        <v>WDWP002295-P000-OAT</v>
      </c>
      <c r="B1177" t="s">
        <v>14</v>
      </c>
      <c r="C1177" t="s">
        <v>1912</v>
      </c>
      <c r="D1177" t="s">
        <v>223</v>
      </c>
      <c r="E1177" t="s">
        <v>1913</v>
      </c>
      <c r="F1177" t="s">
        <v>18</v>
      </c>
      <c r="G1177" t="s">
        <v>19</v>
      </c>
      <c r="H1177">
        <v>0</v>
      </c>
      <c r="I1177">
        <v>0</v>
      </c>
      <c r="J1177">
        <v>28190</v>
      </c>
      <c r="K1177">
        <v>0</v>
      </c>
      <c r="L1177">
        <v>0</v>
      </c>
      <c r="M1177">
        <v>0</v>
      </c>
      <c r="N1177" t="s">
        <v>1060</v>
      </c>
      <c r="O1177" t="s">
        <v>680</v>
      </c>
    </row>
    <row r="1178" spans="1:15" x14ac:dyDescent="0.3">
      <c r="A1178" t="str">
        <f t="shared" si="18"/>
        <v>WDWP002295-P000-OAT</v>
      </c>
      <c r="B1178" t="s">
        <v>14</v>
      </c>
      <c r="C1178" t="s">
        <v>1912</v>
      </c>
      <c r="D1178" t="s">
        <v>223</v>
      </c>
      <c r="E1178" t="s">
        <v>1913</v>
      </c>
      <c r="F1178" t="s">
        <v>18</v>
      </c>
      <c r="G1178" t="s">
        <v>49</v>
      </c>
      <c r="H1178">
        <v>0</v>
      </c>
      <c r="I1178">
        <v>110</v>
      </c>
      <c r="J1178">
        <v>28750</v>
      </c>
      <c r="K1178">
        <v>3162500</v>
      </c>
      <c r="L1178">
        <v>0</v>
      </c>
      <c r="M1178">
        <v>3162500</v>
      </c>
      <c r="N1178" t="s">
        <v>1060</v>
      </c>
      <c r="O1178" t="s">
        <v>680</v>
      </c>
    </row>
    <row r="1179" spans="1:15" x14ac:dyDescent="0.3">
      <c r="A1179" t="str">
        <f t="shared" si="18"/>
        <v>WDWPMF0000023-NWW</v>
      </c>
      <c r="B1179" t="s">
        <v>14</v>
      </c>
      <c r="C1179" t="s">
        <v>1014</v>
      </c>
      <c r="D1179" t="s">
        <v>464</v>
      </c>
      <c r="E1179" t="s">
        <v>1015</v>
      </c>
      <c r="F1179" t="s">
        <v>18</v>
      </c>
      <c r="G1179" t="s">
        <v>49</v>
      </c>
      <c r="H1179">
        <v>0</v>
      </c>
      <c r="I1179">
        <v>50</v>
      </c>
      <c r="J1179">
        <v>24060</v>
      </c>
      <c r="K1179">
        <v>1203000</v>
      </c>
      <c r="L1179">
        <v>0</v>
      </c>
      <c r="M1179">
        <v>1203000</v>
      </c>
      <c r="N1179" t="s">
        <v>834</v>
      </c>
      <c r="O1179" t="s">
        <v>680</v>
      </c>
    </row>
    <row r="1180" spans="1:15" x14ac:dyDescent="0.3">
      <c r="A1180" t="str">
        <f t="shared" si="18"/>
        <v>WDWPMF0000043-WGYS</v>
      </c>
      <c r="B1180" t="s">
        <v>14</v>
      </c>
      <c r="C1180" t="s">
        <v>1914</v>
      </c>
      <c r="D1180" t="s">
        <v>989</v>
      </c>
      <c r="E1180" t="s">
        <v>1915</v>
      </c>
      <c r="F1180" t="s">
        <v>18</v>
      </c>
      <c r="G1180" t="s">
        <v>49</v>
      </c>
      <c r="H1180">
        <v>0</v>
      </c>
      <c r="I1180">
        <v>37</v>
      </c>
      <c r="J1180">
        <v>30750</v>
      </c>
      <c r="K1180">
        <v>1137750</v>
      </c>
      <c r="L1180">
        <v>0</v>
      </c>
      <c r="M1180">
        <v>1137750</v>
      </c>
      <c r="N1180" t="s">
        <v>686</v>
      </c>
      <c r="O1180" t="s">
        <v>680</v>
      </c>
    </row>
    <row r="1181" spans="1:15" x14ac:dyDescent="0.3">
      <c r="A1181" t="str">
        <f t="shared" si="18"/>
        <v>WDWPMF0000044-WGYS</v>
      </c>
      <c r="B1181" t="s">
        <v>14</v>
      </c>
      <c r="C1181" t="s">
        <v>1916</v>
      </c>
      <c r="D1181" t="s">
        <v>989</v>
      </c>
      <c r="E1181" t="s">
        <v>1917</v>
      </c>
      <c r="F1181" t="s">
        <v>18</v>
      </c>
      <c r="G1181" t="s">
        <v>111</v>
      </c>
      <c r="H1181">
        <v>0</v>
      </c>
      <c r="I1181">
        <v>2</v>
      </c>
      <c r="J1181">
        <v>31160</v>
      </c>
      <c r="K1181">
        <v>62320</v>
      </c>
      <c r="L1181">
        <v>0</v>
      </c>
      <c r="M1181">
        <v>62320</v>
      </c>
      <c r="N1181" t="s">
        <v>727</v>
      </c>
      <c r="O1181" t="s">
        <v>680</v>
      </c>
    </row>
    <row r="1182" spans="1:15" x14ac:dyDescent="0.3">
      <c r="A1182" t="str">
        <f t="shared" si="18"/>
        <v>WDWPMF0000078-HY</v>
      </c>
      <c r="B1182" t="s">
        <v>14</v>
      </c>
      <c r="C1182" t="s">
        <v>1918</v>
      </c>
      <c r="D1182" t="s">
        <v>1919</v>
      </c>
      <c r="E1182" t="s">
        <v>1920</v>
      </c>
      <c r="F1182" t="s">
        <v>18</v>
      </c>
      <c r="G1182" t="s">
        <v>26</v>
      </c>
      <c r="H1182">
        <v>0</v>
      </c>
      <c r="I1182">
        <v>10</v>
      </c>
      <c r="J1182">
        <v>32040</v>
      </c>
      <c r="K1182">
        <v>320400</v>
      </c>
      <c r="L1182">
        <v>0</v>
      </c>
      <c r="M1182">
        <v>320400</v>
      </c>
      <c r="N1182" t="s">
        <v>683</v>
      </c>
      <c r="O1182" t="s">
        <v>680</v>
      </c>
    </row>
    <row r="1183" spans="1:15" x14ac:dyDescent="0.3">
      <c r="A1183" t="str">
        <f t="shared" si="18"/>
        <v>WDWPMF0000096-FK</v>
      </c>
      <c r="B1183" t="s">
        <v>14</v>
      </c>
      <c r="C1183" t="s">
        <v>1921</v>
      </c>
      <c r="D1183" t="s">
        <v>229</v>
      </c>
      <c r="E1183" t="s">
        <v>1922</v>
      </c>
      <c r="F1183" t="s">
        <v>18</v>
      </c>
      <c r="G1183" t="s">
        <v>1855</v>
      </c>
      <c r="H1183">
        <v>0</v>
      </c>
      <c r="I1183">
        <v>1</v>
      </c>
      <c r="J1183">
        <v>17370</v>
      </c>
      <c r="K1183">
        <v>17370</v>
      </c>
      <c r="L1183">
        <v>0</v>
      </c>
      <c r="M1183">
        <v>17370</v>
      </c>
      <c r="N1183" t="s">
        <v>697</v>
      </c>
      <c r="O1183" t="s">
        <v>680</v>
      </c>
    </row>
    <row r="1184" spans="1:15" x14ac:dyDescent="0.3">
      <c r="A1184" t="str">
        <f t="shared" si="18"/>
        <v>WDWPMF0000129-XX</v>
      </c>
      <c r="B1184" t="s">
        <v>14</v>
      </c>
      <c r="C1184" t="s">
        <v>1923</v>
      </c>
      <c r="D1184" t="s">
        <v>16</v>
      </c>
      <c r="E1184" t="s">
        <v>1924</v>
      </c>
      <c r="F1184" t="s">
        <v>18</v>
      </c>
      <c r="G1184" t="s">
        <v>19</v>
      </c>
      <c r="H1184">
        <v>0</v>
      </c>
      <c r="I1184">
        <v>50</v>
      </c>
      <c r="J1184">
        <v>23640</v>
      </c>
      <c r="K1184">
        <v>1182000</v>
      </c>
      <c r="L1184">
        <v>0</v>
      </c>
      <c r="M1184">
        <v>1182000</v>
      </c>
      <c r="N1184" t="s">
        <v>1925</v>
      </c>
      <c r="O1184" t="s">
        <v>680</v>
      </c>
    </row>
    <row r="1185" spans="1:15" x14ac:dyDescent="0.3">
      <c r="A1185" t="str">
        <f t="shared" si="18"/>
        <v>WDWPMF0000158-NBK</v>
      </c>
      <c r="B1185" t="s">
        <v>14</v>
      </c>
      <c r="C1185" t="s">
        <v>1016</v>
      </c>
      <c r="D1185" t="s">
        <v>873</v>
      </c>
      <c r="E1185" t="s">
        <v>1017</v>
      </c>
      <c r="F1185" t="s">
        <v>18</v>
      </c>
      <c r="G1185" t="s">
        <v>111</v>
      </c>
      <c r="H1185">
        <v>0</v>
      </c>
      <c r="I1185">
        <v>6</v>
      </c>
      <c r="J1185">
        <v>19750</v>
      </c>
      <c r="K1185">
        <v>118500</v>
      </c>
      <c r="L1185">
        <v>0</v>
      </c>
      <c r="M1185">
        <v>118500</v>
      </c>
      <c r="N1185" t="s">
        <v>897</v>
      </c>
      <c r="O1185" t="s">
        <v>680</v>
      </c>
    </row>
    <row r="1186" spans="1:15" x14ac:dyDescent="0.3">
      <c r="A1186" t="str">
        <f t="shared" si="18"/>
        <v>WDWPMF0000159-WGYS</v>
      </c>
      <c r="B1186" t="s">
        <v>14</v>
      </c>
      <c r="C1186" t="s">
        <v>1018</v>
      </c>
      <c r="D1186" t="s">
        <v>989</v>
      </c>
      <c r="E1186" t="s">
        <v>1019</v>
      </c>
      <c r="F1186" t="s">
        <v>18</v>
      </c>
      <c r="G1186" t="s">
        <v>111</v>
      </c>
      <c r="H1186">
        <v>0</v>
      </c>
      <c r="I1186">
        <v>2</v>
      </c>
      <c r="J1186">
        <v>32450</v>
      </c>
      <c r="K1186">
        <v>64900</v>
      </c>
      <c r="L1186">
        <v>0</v>
      </c>
      <c r="M1186">
        <v>64900</v>
      </c>
      <c r="N1186" t="s">
        <v>952</v>
      </c>
      <c r="O1186" t="s">
        <v>680</v>
      </c>
    </row>
    <row r="1187" spans="1:15" x14ac:dyDescent="0.3">
      <c r="A1187" t="str">
        <f t="shared" si="18"/>
        <v>WDWPMF0000177-CZ</v>
      </c>
      <c r="B1187" t="s">
        <v>14</v>
      </c>
      <c r="C1187" t="s">
        <v>1020</v>
      </c>
      <c r="D1187" t="s">
        <v>861</v>
      </c>
      <c r="E1187" t="s">
        <v>922</v>
      </c>
      <c r="F1187" t="s">
        <v>18</v>
      </c>
      <c r="G1187" t="s">
        <v>49</v>
      </c>
      <c r="H1187">
        <v>0</v>
      </c>
      <c r="I1187">
        <v>64</v>
      </c>
      <c r="J1187">
        <v>20530</v>
      </c>
      <c r="K1187">
        <v>1313920</v>
      </c>
      <c r="L1187">
        <v>0</v>
      </c>
      <c r="M1187">
        <v>1313920</v>
      </c>
      <c r="N1187" t="s">
        <v>945</v>
      </c>
      <c r="O1187" t="s">
        <v>680</v>
      </c>
    </row>
    <row r="1188" spans="1:15" x14ac:dyDescent="0.3">
      <c r="A1188" t="str">
        <f t="shared" si="18"/>
        <v>WDWPMF0000188-SP</v>
      </c>
      <c r="B1188" t="s">
        <v>14</v>
      </c>
      <c r="C1188" t="s">
        <v>1021</v>
      </c>
      <c r="D1188" t="s">
        <v>201</v>
      </c>
      <c r="E1188" t="s">
        <v>888</v>
      </c>
      <c r="F1188" t="s">
        <v>18</v>
      </c>
      <c r="G1188" t="s">
        <v>49</v>
      </c>
      <c r="H1188">
        <v>0</v>
      </c>
      <c r="I1188">
        <v>20</v>
      </c>
      <c r="J1188">
        <v>20550</v>
      </c>
      <c r="K1188">
        <v>411000</v>
      </c>
      <c r="L1188">
        <v>0</v>
      </c>
      <c r="M1188">
        <v>411000</v>
      </c>
      <c r="N1188" t="s">
        <v>863</v>
      </c>
      <c r="O1188" t="s">
        <v>680</v>
      </c>
    </row>
    <row r="1189" spans="1:15" x14ac:dyDescent="0.3">
      <c r="A1189" t="str">
        <f t="shared" si="18"/>
        <v>WDWPMF0000188-SP</v>
      </c>
      <c r="B1189" t="s">
        <v>14</v>
      </c>
      <c r="C1189" t="s">
        <v>1021</v>
      </c>
      <c r="D1189" t="s">
        <v>201</v>
      </c>
      <c r="E1189" t="s">
        <v>888</v>
      </c>
      <c r="F1189" t="s">
        <v>18</v>
      </c>
      <c r="G1189" t="s">
        <v>83</v>
      </c>
      <c r="H1189">
        <v>0</v>
      </c>
      <c r="I1189">
        <v>180</v>
      </c>
      <c r="J1189">
        <v>20550</v>
      </c>
      <c r="K1189">
        <v>3699000</v>
      </c>
      <c r="L1189">
        <v>0</v>
      </c>
      <c r="M1189">
        <v>3699000</v>
      </c>
      <c r="N1189" t="s">
        <v>863</v>
      </c>
      <c r="O1189" t="s">
        <v>680</v>
      </c>
    </row>
    <row r="1190" spans="1:15" x14ac:dyDescent="0.3">
      <c r="A1190" t="str">
        <f t="shared" si="18"/>
        <v>WDWPMF0000188-SP</v>
      </c>
      <c r="B1190" t="s">
        <v>14</v>
      </c>
      <c r="C1190" t="s">
        <v>1021</v>
      </c>
      <c r="D1190" t="s">
        <v>201</v>
      </c>
      <c r="E1190" t="s">
        <v>888</v>
      </c>
      <c r="F1190" t="s">
        <v>18</v>
      </c>
      <c r="G1190" t="s">
        <v>111</v>
      </c>
      <c r="H1190">
        <v>0</v>
      </c>
      <c r="I1190">
        <v>120</v>
      </c>
      <c r="J1190">
        <v>20550</v>
      </c>
      <c r="K1190">
        <v>2466000</v>
      </c>
      <c r="L1190">
        <v>0</v>
      </c>
      <c r="M1190">
        <v>2466000</v>
      </c>
      <c r="N1190" t="s">
        <v>863</v>
      </c>
      <c r="O1190" t="s">
        <v>680</v>
      </c>
    </row>
    <row r="1191" spans="1:15" x14ac:dyDescent="0.3">
      <c r="A1191" t="str">
        <f t="shared" si="18"/>
        <v>WDWPMF0000188-SP</v>
      </c>
      <c r="B1191" t="s">
        <v>14</v>
      </c>
      <c r="C1191" t="s">
        <v>1021</v>
      </c>
      <c r="D1191" t="s">
        <v>201</v>
      </c>
      <c r="E1191" t="s">
        <v>888</v>
      </c>
      <c r="F1191" t="s">
        <v>18</v>
      </c>
      <c r="G1191" t="s">
        <v>174</v>
      </c>
      <c r="H1191">
        <v>0</v>
      </c>
      <c r="I1191">
        <v>80</v>
      </c>
      <c r="J1191">
        <v>20550</v>
      </c>
      <c r="K1191">
        <v>1644000</v>
      </c>
      <c r="L1191">
        <v>0</v>
      </c>
      <c r="M1191">
        <v>1644000</v>
      </c>
      <c r="N1191" t="s">
        <v>863</v>
      </c>
      <c r="O1191" t="s">
        <v>680</v>
      </c>
    </row>
    <row r="1192" spans="1:15" x14ac:dyDescent="0.3">
      <c r="A1192" t="str">
        <f t="shared" si="18"/>
        <v>WDWPMF0000188-SP</v>
      </c>
      <c r="B1192" t="s">
        <v>14</v>
      </c>
      <c r="C1192" t="s">
        <v>1021</v>
      </c>
      <c r="D1192" t="s">
        <v>201</v>
      </c>
      <c r="E1192" t="s">
        <v>888</v>
      </c>
      <c r="F1192" t="s">
        <v>18</v>
      </c>
      <c r="G1192" t="s">
        <v>246</v>
      </c>
      <c r="H1192">
        <v>0</v>
      </c>
      <c r="I1192">
        <v>60</v>
      </c>
      <c r="J1192">
        <v>20550</v>
      </c>
      <c r="K1192">
        <v>1233000</v>
      </c>
      <c r="L1192">
        <v>0</v>
      </c>
      <c r="M1192">
        <v>1233000</v>
      </c>
      <c r="N1192" t="s">
        <v>863</v>
      </c>
      <c r="O1192" t="s">
        <v>680</v>
      </c>
    </row>
    <row r="1193" spans="1:15" x14ac:dyDescent="0.3">
      <c r="A1193" t="str">
        <f t="shared" si="18"/>
        <v>WDWPMF0000190-SP</v>
      </c>
      <c r="B1193" t="s">
        <v>14</v>
      </c>
      <c r="C1193" t="s">
        <v>1022</v>
      </c>
      <c r="D1193" t="s">
        <v>201</v>
      </c>
      <c r="E1193" t="s">
        <v>1023</v>
      </c>
      <c r="F1193" t="s">
        <v>18</v>
      </c>
      <c r="G1193" t="s">
        <v>111</v>
      </c>
      <c r="H1193">
        <v>0</v>
      </c>
      <c r="I1193">
        <v>40</v>
      </c>
      <c r="J1193">
        <v>32450</v>
      </c>
      <c r="K1193">
        <v>1298000</v>
      </c>
      <c r="L1193">
        <v>0</v>
      </c>
      <c r="M1193">
        <v>1298000</v>
      </c>
      <c r="N1193" t="s">
        <v>952</v>
      </c>
      <c r="O1193" t="s">
        <v>680</v>
      </c>
    </row>
    <row r="1194" spans="1:15" x14ac:dyDescent="0.3">
      <c r="A1194" t="str">
        <f t="shared" si="18"/>
        <v>WDWPMF0000190-SP</v>
      </c>
      <c r="B1194" t="s">
        <v>14</v>
      </c>
      <c r="C1194" t="s">
        <v>1022</v>
      </c>
      <c r="D1194" t="s">
        <v>201</v>
      </c>
      <c r="E1194" t="s">
        <v>1023</v>
      </c>
      <c r="F1194" t="s">
        <v>18</v>
      </c>
      <c r="G1194" t="s">
        <v>26</v>
      </c>
      <c r="H1194">
        <v>0</v>
      </c>
      <c r="I1194">
        <v>9</v>
      </c>
      <c r="J1194">
        <v>32450</v>
      </c>
      <c r="K1194">
        <v>292050</v>
      </c>
      <c r="L1194">
        <v>0</v>
      </c>
      <c r="M1194">
        <v>292050</v>
      </c>
      <c r="N1194" t="s">
        <v>952</v>
      </c>
      <c r="O1194" t="s">
        <v>680</v>
      </c>
    </row>
    <row r="1195" spans="1:15" x14ac:dyDescent="0.3">
      <c r="A1195" t="str">
        <f t="shared" si="18"/>
        <v>WDWPMF0000191-SP</v>
      </c>
      <c r="B1195" t="s">
        <v>14</v>
      </c>
      <c r="C1195" t="s">
        <v>1024</v>
      </c>
      <c r="D1195" t="s">
        <v>201</v>
      </c>
      <c r="E1195" t="s">
        <v>1025</v>
      </c>
      <c r="F1195" t="s">
        <v>18</v>
      </c>
      <c r="G1195" t="s">
        <v>111</v>
      </c>
      <c r="H1195">
        <v>0</v>
      </c>
      <c r="I1195">
        <v>8</v>
      </c>
      <c r="J1195">
        <v>43280</v>
      </c>
      <c r="K1195">
        <v>346240</v>
      </c>
      <c r="L1195">
        <v>0</v>
      </c>
      <c r="M1195">
        <v>346240</v>
      </c>
      <c r="N1195" t="s">
        <v>834</v>
      </c>
      <c r="O1195" t="s">
        <v>680</v>
      </c>
    </row>
    <row r="1196" spans="1:15" x14ac:dyDescent="0.3">
      <c r="A1196" t="str">
        <f t="shared" si="18"/>
        <v>WDWPMF0000191-SP</v>
      </c>
      <c r="B1196" t="s">
        <v>14</v>
      </c>
      <c r="C1196" t="s">
        <v>1024</v>
      </c>
      <c r="D1196" t="s">
        <v>201</v>
      </c>
      <c r="E1196" t="s">
        <v>1025</v>
      </c>
      <c r="F1196" t="s">
        <v>18</v>
      </c>
      <c r="G1196" t="s">
        <v>1855</v>
      </c>
      <c r="H1196">
        <v>0</v>
      </c>
      <c r="I1196">
        <v>1</v>
      </c>
      <c r="J1196">
        <v>43280</v>
      </c>
      <c r="K1196">
        <v>43280</v>
      </c>
      <c r="L1196">
        <v>0</v>
      </c>
      <c r="M1196">
        <v>43280</v>
      </c>
      <c r="N1196" t="s">
        <v>834</v>
      </c>
      <c r="O1196" t="s">
        <v>680</v>
      </c>
    </row>
    <row r="1197" spans="1:15" x14ac:dyDescent="0.3">
      <c r="A1197" t="str">
        <f t="shared" si="18"/>
        <v>WDWPMF0000193-RM</v>
      </c>
      <c r="B1197" t="s">
        <v>14</v>
      </c>
      <c r="C1197" t="s">
        <v>1026</v>
      </c>
      <c r="D1197" t="s">
        <v>224</v>
      </c>
      <c r="E1197" t="s">
        <v>1027</v>
      </c>
      <c r="F1197" t="s">
        <v>18</v>
      </c>
      <c r="G1197" t="s">
        <v>19</v>
      </c>
      <c r="H1197">
        <v>0</v>
      </c>
      <c r="I1197">
        <v>60</v>
      </c>
      <c r="J1197">
        <v>19790</v>
      </c>
      <c r="K1197">
        <v>1187400</v>
      </c>
      <c r="L1197">
        <v>0</v>
      </c>
      <c r="M1197">
        <v>1187400</v>
      </c>
      <c r="N1197" t="s">
        <v>863</v>
      </c>
      <c r="O1197" t="s">
        <v>680</v>
      </c>
    </row>
    <row r="1198" spans="1:15" x14ac:dyDescent="0.3">
      <c r="A1198" t="str">
        <f t="shared" si="18"/>
        <v>WDWPMF0000193-RM</v>
      </c>
      <c r="B1198" t="s">
        <v>14</v>
      </c>
      <c r="C1198" t="s">
        <v>1026</v>
      </c>
      <c r="D1198" t="s">
        <v>224</v>
      </c>
      <c r="E1198" t="s">
        <v>1027</v>
      </c>
      <c r="F1198" t="s">
        <v>18</v>
      </c>
      <c r="G1198" t="s">
        <v>68</v>
      </c>
      <c r="H1198">
        <v>0</v>
      </c>
      <c r="I1198">
        <v>50</v>
      </c>
      <c r="J1198">
        <v>19790</v>
      </c>
      <c r="K1198">
        <v>989500</v>
      </c>
      <c r="L1198">
        <v>0</v>
      </c>
      <c r="M1198">
        <v>989500</v>
      </c>
      <c r="N1198" t="s">
        <v>863</v>
      </c>
      <c r="O1198" t="s">
        <v>680</v>
      </c>
    </row>
    <row r="1199" spans="1:15" x14ac:dyDescent="0.3">
      <c r="A1199" t="str">
        <f t="shared" si="18"/>
        <v>WDWPMF0000193-RM</v>
      </c>
      <c r="B1199" t="s">
        <v>14</v>
      </c>
      <c r="C1199" t="s">
        <v>1026</v>
      </c>
      <c r="D1199" t="s">
        <v>224</v>
      </c>
      <c r="E1199" t="s">
        <v>1027</v>
      </c>
      <c r="F1199" t="s">
        <v>18</v>
      </c>
      <c r="G1199" t="s">
        <v>83</v>
      </c>
      <c r="H1199">
        <v>0</v>
      </c>
      <c r="I1199">
        <v>10</v>
      </c>
      <c r="J1199">
        <v>19790</v>
      </c>
      <c r="K1199">
        <v>197900</v>
      </c>
      <c r="L1199">
        <v>0</v>
      </c>
      <c r="M1199">
        <v>197900</v>
      </c>
      <c r="N1199" t="s">
        <v>863</v>
      </c>
      <c r="O1199" t="s">
        <v>680</v>
      </c>
    </row>
    <row r="1200" spans="1:15" x14ac:dyDescent="0.3">
      <c r="A1200" t="str">
        <f t="shared" si="18"/>
        <v>WDWPMF0000194-RM</v>
      </c>
      <c r="B1200" t="s">
        <v>14</v>
      </c>
      <c r="C1200" t="s">
        <v>1028</v>
      </c>
      <c r="D1200" t="s">
        <v>224</v>
      </c>
      <c r="E1200" t="s">
        <v>1029</v>
      </c>
      <c r="F1200" t="s">
        <v>18</v>
      </c>
      <c r="G1200" t="s">
        <v>246</v>
      </c>
      <c r="H1200">
        <v>0</v>
      </c>
      <c r="I1200">
        <v>100</v>
      </c>
      <c r="J1200">
        <v>22160</v>
      </c>
      <c r="K1200">
        <v>2216000</v>
      </c>
      <c r="L1200">
        <v>0</v>
      </c>
      <c r="M1200">
        <v>2216000</v>
      </c>
      <c r="N1200" t="s">
        <v>952</v>
      </c>
      <c r="O1200" t="s">
        <v>680</v>
      </c>
    </row>
    <row r="1201" spans="1:15" x14ac:dyDescent="0.3">
      <c r="A1201" t="str">
        <f t="shared" si="18"/>
        <v>WDWPMF0000194-RM</v>
      </c>
      <c r="B1201" t="s">
        <v>14</v>
      </c>
      <c r="C1201" t="s">
        <v>1028</v>
      </c>
      <c r="D1201" t="s">
        <v>224</v>
      </c>
      <c r="E1201" t="s">
        <v>1029</v>
      </c>
      <c r="F1201" t="s">
        <v>18</v>
      </c>
      <c r="G1201" t="s">
        <v>83</v>
      </c>
      <c r="H1201">
        <v>0</v>
      </c>
      <c r="I1201">
        <v>10</v>
      </c>
      <c r="J1201">
        <v>22160</v>
      </c>
      <c r="K1201">
        <v>221600</v>
      </c>
      <c r="L1201">
        <v>0</v>
      </c>
      <c r="M1201">
        <v>221600</v>
      </c>
      <c r="N1201" t="s">
        <v>952</v>
      </c>
      <c r="O1201" t="s">
        <v>680</v>
      </c>
    </row>
    <row r="1202" spans="1:15" x14ac:dyDescent="0.3">
      <c r="A1202" t="str">
        <f t="shared" si="18"/>
        <v>WDWPMF0000194-RM</v>
      </c>
      <c r="B1202" t="s">
        <v>14</v>
      </c>
      <c r="C1202" t="s">
        <v>1028</v>
      </c>
      <c r="D1202" t="s">
        <v>224</v>
      </c>
      <c r="E1202" t="s">
        <v>1029</v>
      </c>
      <c r="F1202" t="s">
        <v>18</v>
      </c>
      <c r="G1202" t="s">
        <v>19</v>
      </c>
      <c r="H1202">
        <v>0</v>
      </c>
      <c r="I1202">
        <v>50</v>
      </c>
      <c r="J1202">
        <v>22160</v>
      </c>
      <c r="K1202">
        <v>1108000</v>
      </c>
      <c r="L1202">
        <v>0</v>
      </c>
      <c r="M1202">
        <v>1108000</v>
      </c>
      <c r="N1202" t="s">
        <v>952</v>
      </c>
      <c r="O1202" t="s">
        <v>680</v>
      </c>
    </row>
    <row r="1203" spans="1:15" x14ac:dyDescent="0.3">
      <c r="A1203" t="str">
        <f t="shared" si="18"/>
        <v>WDWPMF0000195-RM</v>
      </c>
      <c r="B1203" t="s">
        <v>14</v>
      </c>
      <c r="C1203" t="s">
        <v>1030</v>
      </c>
      <c r="D1203" t="s">
        <v>224</v>
      </c>
      <c r="E1203" t="s">
        <v>1031</v>
      </c>
      <c r="F1203" t="s">
        <v>18</v>
      </c>
      <c r="G1203" t="s">
        <v>19</v>
      </c>
      <c r="H1203">
        <v>0</v>
      </c>
      <c r="I1203">
        <v>40</v>
      </c>
      <c r="J1203">
        <v>25210</v>
      </c>
      <c r="K1203">
        <v>1008400</v>
      </c>
      <c r="L1203">
        <v>0</v>
      </c>
      <c r="M1203">
        <v>1008400</v>
      </c>
      <c r="N1203" t="s">
        <v>834</v>
      </c>
      <c r="O1203" t="s">
        <v>680</v>
      </c>
    </row>
    <row r="1204" spans="1:15" x14ac:dyDescent="0.3">
      <c r="A1204" t="str">
        <f t="shared" si="18"/>
        <v>WDWPMF0000196-TM</v>
      </c>
      <c r="B1204" t="s">
        <v>14</v>
      </c>
      <c r="C1204" t="s">
        <v>1032</v>
      </c>
      <c r="D1204" t="s">
        <v>1033</v>
      </c>
      <c r="E1204" t="s">
        <v>1034</v>
      </c>
      <c r="F1204" t="s">
        <v>18</v>
      </c>
      <c r="G1204" t="s">
        <v>83</v>
      </c>
      <c r="H1204">
        <v>0</v>
      </c>
      <c r="I1204">
        <v>10</v>
      </c>
      <c r="J1204">
        <v>22160</v>
      </c>
      <c r="K1204">
        <v>221600</v>
      </c>
      <c r="L1204">
        <v>0</v>
      </c>
      <c r="M1204">
        <v>221600</v>
      </c>
      <c r="N1204" t="s">
        <v>952</v>
      </c>
      <c r="O1204" t="s">
        <v>680</v>
      </c>
    </row>
    <row r="1205" spans="1:15" x14ac:dyDescent="0.3">
      <c r="A1205" t="str">
        <f t="shared" si="18"/>
        <v>WDWPMF0000196-TM</v>
      </c>
      <c r="B1205" t="s">
        <v>14</v>
      </c>
      <c r="C1205" t="s">
        <v>1032</v>
      </c>
      <c r="D1205" t="s">
        <v>1033</v>
      </c>
      <c r="E1205" t="s">
        <v>1034</v>
      </c>
      <c r="F1205" t="s">
        <v>18</v>
      </c>
      <c r="G1205" t="s">
        <v>246</v>
      </c>
      <c r="H1205">
        <v>0</v>
      </c>
      <c r="I1205">
        <v>100</v>
      </c>
      <c r="J1205">
        <v>22160</v>
      </c>
      <c r="K1205">
        <v>2216000</v>
      </c>
      <c r="L1205">
        <v>0</v>
      </c>
      <c r="M1205">
        <v>2216000</v>
      </c>
      <c r="N1205" t="s">
        <v>952</v>
      </c>
      <c r="O1205" t="s">
        <v>680</v>
      </c>
    </row>
    <row r="1206" spans="1:15" x14ac:dyDescent="0.3">
      <c r="A1206" t="str">
        <f t="shared" si="18"/>
        <v>WDWPMF0000196-TM</v>
      </c>
      <c r="B1206" t="s">
        <v>14</v>
      </c>
      <c r="C1206" t="s">
        <v>1032</v>
      </c>
      <c r="D1206" t="s">
        <v>1033</v>
      </c>
      <c r="E1206" t="s">
        <v>1034</v>
      </c>
      <c r="F1206" t="s">
        <v>18</v>
      </c>
      <c r="G1206" t="s">
        <v>19</v>
      </c>
      <c r="H1206">
        <v>0</v>
      </c>
      <c r="I1206">
        <v>100</v>
      </c>
      <c r="J1206">
        <v>22160</v>
      </c>
      <c r="K1206">
        <v>2216000</v>
      </c>
      <c r="L1206">
        <v>0</v>
      </c>
      <c r="M1206">
        <v>2216000</v>
      </c>
      <c r="N1206" t="s">
        <v>952</v>
      </c>
      <c r="O1206" t="s">
        <v>680</v>
      </c>
    </row>
    <row r="1207" spans="1:15" x14ac:dyDescent="0.3">
      <c r="A1207" t="str">
        <f t="shared" si="18"/>
        <v>WDWPMF0000197-TM</v>
      </c>
      <c r="B1207" t="s">
        <v>14</v>
      </c>
      <c r="C1207" t="s">
        <v>1035</v>
      </c>
      <c r="D1207" t="s">
        <v>1033</v>
      </c>
      <c r="E1207" t="s">
        <v>1036</v>
      </c>
      <c r="F1207" t="s">
        <v>18</v>
      </c>
      <c r="G1207" t="s">
        <v>246</v>
      </c>
      <c r="H1207">
        <v>0</v>
      </c>
      <c r="I1207">
        <v>20</v>
      </c>
      <c r="J1207">
        <v>25210</v>
      </c>
      <c r="K1207">
        <v>504200</v>
      </c>
      <c r="L1207">
        <v>0</v>
      </c>
      <c r="M1207">
        <v>504200</v>
      </c>
      <c r="N1207" t="s">
        <v>834</v>
      </c>
      <c r="O1207" t="s">
        <v>680</v>
      </c>
    </row>
    <row r="1208" spans="1:15" x14ac:dyDescent="0.3">
      <c r="A1208" t="str">
        <f t="shared" si="18"/>
        <v>WDWPMF0000210-BK</v>
      </c>
      <c r="B1208" t="s">
        <v>14</v>
      </c>
      <c r="C1208" t="s">
        <v>1926</v>
      </c>
      <c r="D1208" t="s">
        <v>31</v>
      </c>
      <c r="E1208" t="s">
        <v>1927</v>
      </c>
      <c r="F1208" t="s">
        <v>18</v>
      </c>
      <c r="G1208" t="s">
        <v>818</v>
      </c>
      <c r="H1208">
        <v>0</v>
      </c>
      <c r="I1208">
        <v>10</v>
      </c>
      <c r="J1208">
        <v>44730</v>
      </c>
      <c r="K1208">
        <v>447300</v>
      </c>
      <c r="L1208">
        <v>0</v>
      </c>
      <c r="M1208">
        <v>447300</v>
      </c>
      <c r="N1208" t="s">
        <v>834</v>
      </c>
      <c r="O1208" t="s">
        <v>680</v>
      </c>
    </row>
    <row r="1209" spans="1:15" x14ac:dyDescent="0.3">
      <c r="A1209" t="str">
        <f t="shared" si="18"/>
        <v>WDWPMF0000211-SP</v>
      </c>
      <c r="B1209" t="s">
        <v>14</v>
      </c>
      <c r="C1209" t="s">
        <v>1928</v>
      </c>
      <c r="D1209" t="s">
        <v>201</v>
      </c>
      <c r="E1209" t="s">
        <v>1929</v>
      </c>
      <c r="F1209" t="s">
        <v>18</v>
      </c>
      <c r="G1209" t="s">
        <v>111</v>
      </c>
      <c r="H1209">
        <v>0</v>
      </c>
      <c r="I1209">
        <v>10</v>
      </c>
      <c r="J1209">
        <v>31160</v>
      </c>
      <c r="K1209">
        <v>311600</v>
      </c>
      <c r="L1209">
        <v>0</v>
      </c>
      <c r="M1209">
        <v>311600</v>
      </c>
      <c r="N1209" t="s">
        <v>863</v>
      </c>
      <c r="O1209" t="s">
        <v>680</v>
      </c>
    </row>
    <row r="1210" spans="1:15" x14ac:dyDescent="0.3">
      <c r="A1210" t="str">
        <f t="shared" si="18"/>
        <v>WDWPMF0000223-TM</v>
      </c>
      <c r="B1210" t="s">
        <v>14</v>
      </c>
      <c r="C1210" t="s">
        <v>1037</v>
      </c>
      <c r="D1210" t="s">
        <v>1033</v>
      </c>
      <c r="E1210" t="s">
        <v>1038</v>
      </c>
      <c r="F1210" t="s">
        <v>18</v>
      </c>
      <c r="G1210" t="s">
        <v>83</v>
      </c>
      <c r="H1210">
        <v>0</v>
      </c>
      <c r="I1210">
        <v>10</v>
      </c>
      <c r="J1210">
        <v>19790</v>
      </c>
      <c r="K1210">
        <v>197900</v>
      </c>
      <c r="L1210">
        <v>0</v>
      </c>
      <c r="M1210">
        <v>197900</v>
      </c>
      <c r="N1210" t="s">
        <v>863</v>
      </c>
      <c r="O1210" t="s">
        <v>680</v>
      </c>
    </row>
    <row r="1211" spans="1:15" x14ac:dyDescent="0.3">
      <c r="A1211" t="str">
        <f t="shared" si="18"/>
        <v>WDWPMF0000235-GYM</v>
      </c>
      <c r="B1211" t="s">
        <v>14</v>
      </c>
      <c r="C1211" t="s">
        <v>1039</v>
      </c>
      <c r="D1211" t="s">
        <v>570</v>
      </c>
      <c r="E1211" t="s">
        <v>1040</v>
      </c>
      <c r="F1211" t="s">
        <v>18</v>
      </c>
      <c r="G1211" t="s">
        <v>68</v>
      </c>
      <c r="H1211">
        <v>0</v>
      </c>
      <c r="I1211">
        <v>91</v>
      </c>
      <c r="J1211">
        <v>21850</v>
      </c>
      <c r="K1211">
        <v>1988350</v>
      </c>
      <c r="L1211">
        <v>0</v>
      </c>
      <c r="M1211">
        <v>1988350</v>
      </c>
      <c r="N1211" t="s">
        <v>997</v>
      </c>
      <c r="O1211" t="s">
        <v>680</v>
      </c>
    </row>
    <row r="1212" spans="1:15" x14ac:dyDescent="0.3">
      <c r="A1212" t="str">
        <f t="shared" si="18"/>
        <v>WDWPMF0000239-SP</v>
      </c>
      <c r="B1212" t="s">
        <v>14</v>
      </c>
      <c r="C1212" t="s">
        <v>1041</v>
      </c>
      <c r="D1212" t="s">
        <v>201</v>
      </c>
      <c r="E1212" t="s">
        <v>1042</v>
      </c>
      <c r="F1212" t="s">
        <v>18</v>
      </c>
      <c r="G1212" t="s">
        <v>111</v>
      </c>
      <c r="H1212">
        <v>0</v>
      </c>
      <c r="I1212">
        <v>91</v>
      </c>
      <c r="J1212">
        <v>30750</v>
      </c>
      <c r="K1212">
        <v>2798250</v>
      </c>
      <c r="L1212">
        <v>0</v>
      </c>
      <c r="M1212">
        <v>2798250</v>
      </c>
      <c r="N1212" t="s">
        <v>908</v>
      </c>
      <c r="O1212" t="s">
        <v>680</v>
      </c>
    </row>
    <row r="1213" spans="1:15" x14ac:dyDescent="0.3">
      <c r="A1213" t="str">
        <f t="shared" si="18"/>
        <v>WDWPMF0000239-SP</v>
      </c>
      <c r="B1213" t="s">
        <v>14</v>
      </c>
      <c r="C1213" t="s">
        <v>1041</v>
      </c>
      <c r="D1213" t="s">
        <v>201</v>
      </c>
      <c r="E1213" t="s">
        <v>1042</v>
      </c>
      <c r="F1213" t="s">
        <v>18</v>
      </c>
      <c r="G1213" t="s">
        <v>1855</v>
      </c>
      <c r="H1213">
        <v>0</v>
      </c>
      <c r="I1213">
        <v>3</v>
      </c>
      <c r="J1213">
        <v>30750</v>
      </c>
      <c r="K1213">
        <v>92250</v>
      </c>
      <c r="L1213">
        <v>0</v>
      </c>
      <c r="M1213">
        <v>92250</v>
      </c>
      <c r="N1213" t="s">
        <v>908</v>
      </c>
      <c r="O1213" t="s">
        <v>680</v>
      </c>
    </row>
    <row r="1214" spans="1:15" x14ac:dyDescent="0.3">
      <c r="A1214" t="str">
        <f t="shared" si="18"/>
        <v>WDWPMF0000239-SP</v>
      </c>
      <c r="B1214" t="s">
        <v>14</v>
      </c>
      <c r="C1214" t="s">
        <v>1041</v>
      </c>
      <c r="D1214" t="s">
        <v>201</v>
      </c>
      <c r="E1214" t="s">
        <v>1042</v>
      </c>
      <c r="F1214" t="s">
        <v>18</v>
      </c>
      <c r="G1214" t="s">
        <v>210</v>
      </c>
      <c r="H1214">
        <v>0</v>
      </c>
      <c r="I1214">
        <v>3</v>
      </c>
      <c r="J1214">
        <v>30750</v>
      </c>
      <c r="K1214">
        <v>92250</v>
      </c>
      <c r="L1214">
        <v>0</v>
      </c>
      <c r="M1214">
        <v>92250</v>
      </c>
      <c r="N1214" t="s">
        <v>908</v>
      </c>
      <c r="O1214" t="s">
        <v>680</v>
      </c>
    </row>
    <row r="1215" spans="1:15" x14ac:dyDescent="0.3">
      <c r="A1215" t="str">
        <f t="shared" si="18"/>
        <v>WDWPMF0000260-XX</v>
      </c>
      <c r="B1215" t="s">
        <v>14</v>
      </c>
      <c r="C1215" t="s">
        <v>1043</v>
      </c>
      <c r="D1215" t="s">
        <v>16</v>
      </c>
      <c r="E1215" t="s">
        <v>1044</v>
      </c>
      <c r="F1215" t="s">
        <v>18</v>
      </c>
      <c r="G1215" t="s">
        <v>49</v>
      </c>
      <c r="H1215">
        <v>0</v>
      </c>
      <c r="I1215">
        <v>23</v>
      </c>
      <c r="J1215">
        <v>20240</v>
      </c>
      <c r="K1215">
        <v>465520</v>
      </c>
      <c r="L1215">
        <v>0</v>
      </c>
      <c r="M1215">
        <v>465520</v>
      </c>
      <c r="N1215" t="s">
        <v>863</v>
      </c>
      <c r="O1215" t="s">
        <v>680</v>
      </c>
    </row>
    <row r="1216" spans="1:15" x14ac:dyDescent="0.3">
      <c r="A1216" t="str">
        <f t="shared" si="18"/>
        <v>WDWPMF0000261-XX</v>
      </c>
      <c r="B1216" t="s">
        <v>14</v>
      </c>
      <c r="C1216" t="s">
        <v>1045</v>
      </c>
      <c r="D1216" t="s">
        <v>16</v>
      </c>
      <c r="E1216" t="s">
        <v>782</v>
      </c>
      <c r="F1216" t="s">
        <v>18</v>
      </c>
      <c r="G1216" t="s">
        <v>49</v>
      </c>
      <c r="H1216">
        <v>0</v>
      </c>
      <c r="I1216">
        <v>20</v>
      </c>
      <c r="J1216">
        <v>25660</v>
      </c>
      <c r="K1216">
        <v>513200</v>
      </c>
      <c r="L1216">
        <v>0</v>
      </c>
      <c r="M1216">
        <v>513200</v>
      </c>
      <c r="N1216" t="s">
        <v>834</v>
      </c>
      <c r="O1216" t="s">
        <v>680</v>
      </c>
    </row>
    <row r="1217" spans="1:15" x14ac:dyDescent="0.3">
      <c r="A1217" t="str">
        <f t="shared" si="18"/>
        <v>WDWPMF0000278-BGM</v>
      </c>
      <c r="B1217" t="s">
        <v>14</v>
      </c>
      <c r="C1217" t="s">
        <v>1046</v>
      </c>
      <c r="D1217" t="s">
        <v>769</v>
      </c>
      <c r="E1217" t="s">
        <v>1047</v>
      </c>
      <c r="F1217" t="s">
        <v>18</v>
      </c>
      <c r="G1217" t="s">
        <v>1855</v>
      </c>
      <c r="H1217">
        <v>0</v>
      </c>
      <c r="I1217">
        <v>1</v>
      </c>
      <c r="J1217">
        <v>30400</v>
      </c>
      <c r="K1217">
        <v>30400</v>
      </c>
      <c r="L1217">
        <v>0</v>
      </c>
      <c r="M1217">
        <v>30400</v>
      </c>
      <c r="N1217" t="s">
        <v>727</v>
      </c>
      <c r="O1217" t="s">
        <v>680</v>
      </c>
    </row>
    <row r="1218" spans="1:15" x14ac:dyDescent="0.3">
      <c r="A1218" t="str">
        <f t="shared" si="18"/>
        <v>WDWPMF0000279-BUR</v>
      </c>
      <c r="B1218" t="s">
        <v>14</v>
      </c>
      <c r="C1218" t="s">
        <v>1048</v>
      </c>
      <c r="D1218" t="s">
        <v>1049</v>
      </c>
      <c r="E1218" t="s">
        <v>1050</v>
      </c>
      <c r="F1218" t="s">
        <v>18</v>
      </c>
      <c r="G1218" t="s">
        <v>1855</v>
      </c>
      <c r="H1218">
        <v>0</v>
      </c>
      <c r="I1218">
        <v>1</v>
      </c>
      <c r="J1218">
        <v>30750</v>
      </c>
      <c r="K1218">
        <v>30750</v>
      </c>
      <c r="L1218">
        <v>0</v>
      </c>
      <c r="M1218">
        <v>30750</v>
      </c>
      <c r="N1218" t="s">
        <v>727</v>
      </c>
      <c r="O1218" t="s">
        <v>680</v>
      </c>
    </row>
    <row r="1219" spans="1:15" x14ac:dyDescent="0.3">
      <c r="A1219" t="str">
        <f t="shared" ref="A1219:A1282" si="19">C1219&amp;"-"&amp;D1219</f>
        <v>WDWPMF0000280-SP</v>
      </c>
      <c r="B1219" t="s">
        <v>14</v>
      </c>
      <c r="C1219" t="s">
        <v>1930</v>
      </c>
      <c r="D1219" t="s">
        <v>201</v>
      </c>
      <c r="E1219" t="s">
        <v>1931</v>
      </c>
      <c r="F1219" t="s">
        <v>18</v>
      </c>
      <c r="G1219" t="s">
        <v>111</v>
      </c>
      <c r="H1219">
        <v>0</v>
      </c>
      <c r="I1219">
        <v>22</v>
      </c>
      <c r="J1219">
        <v>43280</v>
      </c>
      <c r="K1219">
        <v>952160</v>
      </c>
      <c r="L1219">
        <v>0</v>
      </c>
      <c r="M1219">
        <v>952160</v>
      </c>
      <c r="N1219" t="s">
        <v>834</v>
      </c>
      <c r="O1219" t="s">
        <v>680</v>
      </c>
    </row>
    <row r="1220" spans="1:15" x14ac:dyDescent="0.3">
      <c r="A1220" t="str">
        <f t="shared" si="19"/>
        <v>WDWPMF0000289-SP</v>
      </c>
      <c r="B1220" t="s">
        <v>14</v>
      </c>
      <c r="C1220" t="s">
        <v>1051</v>
      </c>
      <c r="D1220" t="s">
        <v>201</v>
      </c>
      <c r="E1220" t="s">
        <v>1052</v>
      </c>
      <c r="F1220" t="s">
        <v>18</v>
      </c>
      <c r="G1220" t="s">
        <v>23</v>
      </c>
      <c r="H1220">
        <v>0</v>
      </c>
      <c r="I1220">
        <v>210</v>
      </c>
      <c r="J1220">
        <v>13450</v>
      </c>
      <c r="K1220">
        <v>2824500</v>
      </c>
      <c r="L1220">
        <v>0</v>
      </c>
      <c r="M1220">
        <v>2824500</v>
      </c>
      <c r="N1220" t="s">
        <v>1053</v>
      </c>
      <c r="O1220" t="s">
        <v>680</v>
      </c>
    </row>
    <row r="1221" spans="1:15" x14ac:dyDescent="0.3">
      <c r="A1221" t="str">
        <f t="shared" si="19"/>
        <v>WDWPMF0000294-UW</v>
      </c>
      <c r="B1221" t="s">
        <v>14</v>
      </c>
      <c r="C1221" t="s">
        <v>1054</v>
      </c>
      <c r="D1221" t="s">
        <v>988</v>
      </c>
      <c r="E1221" t="s">
        <v>1055</v>
      </c>
      <c r="F1221" t="s">
        <v>18</v>
      </c>
      <c r="G1221" t="s">
        <v>111</v>
      </c>
      <c r="H1221">
        <v>0</v>
      </c>
      <c r="I1221">
        <v>10</v>
      </c>
      <c r="J1221">
        <v>21800</v>
      </c>
      <c r="K1221">
        <v>218000</v>
      </c>
      <c r="L1221">
        <v>0</v>
      </c>
      <c r="M1221">
        <v>218000</v>
      </c>
      <c r="N1221" t="s">
        <v>863</v>
      </c>
      <c r="O1221" t="s">
        <v>680</v>
      </c>
    </row>
    <row r="1222" spans="1:15" x14ac:dyDescent="0.3">
      <c r="A1222" t="str">
        <f t="shared" si="19"/>
        <v>WDWPMF0000295-UW</v>
      </c>
      <c r="B1222" t="s">
        <v>14</v>
      </c>
      <c r="C1222" t="s">
        <v>1056</v>
      </c>
      <c r="D1222" t="s">
        <v>988</v>
      </c>
      <c r="E1222" t="s">
        <v>1057</v>
      </c>
      <c r="F1222" t="s">
        <v>18</v>
      </c>
      <c r="G1222" t="s">
        <v>174</v>
      </c>
      <c r="H1222">
        <v>0</v>
      </c>
      <c r="I1222">
        <v>140</v>
      </c>
      <c r="J1222">
        <v>24170</v>
      </c>
      <c r="K1222">
        <v>3383800</v>
      </c>
      <c r="L1222">
        <v>0</v>
      </c>
      <c r="M1222">
        <v>3383800</v>
      </c>
      <c r="N1222" t="s">
        <v>952</v>
      </c>
      <c r="O1222" t="s">
        <v>680</v>
      </c>
    </row>
    <row r="1223" spans="1:15" x14ac:dyDescent="0.3">
      <c r="A1223" t="str">
        <f t="shared" si="19"/>
        <v>WDWPMF0000295-UW</v>
      </c>
      <c r="B1223" t="s">
        <v>14</v>
      </c>
      <c r="C1223" t="s">
        <v>1056</v>
      </c>
      <c r="D1223" t="s">
        <v>988</v>
      </c>
      <c r="E1223" t="s">
        <v>1057</v>
      </c>
      <c r="F1223" t="s">
        <v>18</v>
      </c>
      <c r="G1223" t="s">
        <v>35</v>
      </c>
      <c r="H1223">
        <v>0</v>
      </c>
      <c r="I1223">
        <v>563</v>
      </c>
      <c r="J1223">
        <v>24170</v>
      </c>
      <c r="K1223">
        <v>13607710</v>
      </c>
      <c r="L1223">
        <v>0</v>
      </c>
      <c r="M1223">
        <v>13607710</v>
      </c>
      <c r="N1223" t="s">
        <v>952</v>
      </c>
      <c r="O1223" t="s">
        <v>680</v>
      </c>
    </row>
    <row r="1224" spans="1:15" x14ac:dyDescent="0.3">
      <c r="A1224" t="str">
        <f t="shared" si="19"/>
        <v>WDWPMF0000295-UW</v>
      </c>
      <c r="B1224" t="s">
        <v>14</v>
      </c>
      <c r="C1224" t="s">
        <v>1056</v>
      </c>
      <c r="D1224" t="s">
        <v>988</v>
      </c>
      <c r="E1224" t="s">
        <v>1057</v>
      </c>
      <c r="F1224" t="s">
        <v>18</v>
      </c>
      <c r="G1224" t="s">
        <v>111</v>
      </c>
      <c r="H1224">
        <v>0</v>
      </c>
      <c r="I1224">
        <v>50</v>
      </c>
      <c r="J1224">
        <v>24170</v>
      </c>
      <c r="K1224">
        <v>1208500</v>
      </c>
      <c r="L1224">
        <v>0</v>
      </c>
      <c r="M1224">
        <v>1208500</v>
      </c>
      <c r="N1224" t="s">
        <v>952</v>
      </c>
      <c r="O1224" t="s">
        <v>680</v>
      </c>
    </row>
    <row r="1225" spans="1:15" x14ac:dyDescent="0.3">
      <c r="A1225" t="str">
        <f t="shared" si="19"/>
        <v>WDWPMF0000295-UW</v>
      </c>
      <c r="B1225" t="s">
        <v>14</v>
      </c>
      <c r="C1225" t="s">
        <v>1056</v>
      </c>
      <c r="D1225" t="s">
        <v>988</v>
      </c>
      <c r="E1225" t="s">
        <v>1057</v>
      </c>
      <c r="F1225" t="s">
        <v>18</v>
      </c>
      <c r="G1225" t="s">
        <v>210</v>
      </c>
      <c r="H1225">
        <v>0</v>
      </c>
      <c r="I1225">
        <v>145</v>
      </c>
      <c r="J1225">
        <v>24170</v>
      </c>
      <c r="K1225">
        <v>3504650</v>
      </c>
      <c r="L1225">
        <v>0</v>
      </c>
      <c r="M1225">
        <v>3504650</v>
      </c>
      <c r="N1225" t="s">
        <v>952</v>
      </c>
      <c r="O1225" t="s">
        <v>680</v>
      </c>
    </row>
    <row r="1226" spans="1:15" x14ac:dyDescent="0.3">
      <c r="A1226" t="str">
        <f t="shared" si="19"/>
        <v>WDWPMF0000302-RCN</v>
      </c>
      <c r="B1226" t="s">
        <v>14</v>
      </c>
      <c r="C1226" t="s">
        <v>1058</v>
      </c>
      <c r="D1226" t="s">
        <v>253</v>
      </c>
      <c r="E1226" t="s">
        <v>1059</v>
      </c>
      <c r="F1226" t="s">
        <v>18</v>
      </c>
      <c r="G1226" t="s">
        <v>239</v>
      </c>
      <c r="H1226">
        <v>0</v>
      </c>
      <c r="I1226">
        <v>157</v>
      </c>
      <c r="J1226">
        <v>37350</v>
      </c>
      <c r="K1226">
        <v>5863950</v>
      </c>
      <c r="L1226">
        <v>0</v>
      </c>
      <c r="M1226">
        <v>5863950</v>
      </c>
      <c r="N1226" t="s">
        <v>1060</v>
      </c>
      <c r="O1226" t="s">
        <v>680</v>
      </c>
    </row>
    <row r="1227" spans="1:15" x14ac:dyDescent="0.3">
      <c r="A1227" t="str">
        <f t="shared" si="19"/>
        <v>WDWPMF0000302-RCN</v>
      </c>
      <c r="B1227" t="s">
        <v>14</v>
      </c>
      <c r="C1227" t="s">
        <v>1058</v>
      </c>
      <c r="D1227" t="s">
        <v>253</v>
      </c>
      <c r="E1227" t="s">
        <v>1059</v>
      </c>
      <c r="F1227" t="s">
        <v>18</v>
      </c>
      <c r="G1227" t="s">
        <v>248</v>
      </c>
      <c r="H1227">
        <v>0</v>
      </c>
      <c r="I1227">
        <v>80</v>
      </c>
      <c r="J1227">
        <v>37350</v>
      </c>
      <c r="K1227">
        <v>2988000</v>
      </c>
      <c r="L1227">
        <v>0</v>
      </c>
      <c r="M1227">
        <v>2988000</v>
      </c>
      <c r="N1227" t="s">
        <v>1060</v>
      </c>
      <c r="O1227" t="s">
        <v>680</v>
      </c>
    </row>
    <row r="1228" spans="1:15" x14ac:dyDescent="0.3">
      <c r="A1228" t="str">
        <f t="shared" si="19"/>
        <v>WDWPMF0000304-IVGYM</v>
      </c>
      <c r="B1228" t="s">
        <v>14</v>
      </c>
      <c r="C1228" t="s">
        <v>1061</v>
      </c>
      <c r="D1228" t="s">
        <v>1062</v>
      </c>
      <c r="E1228" t="s">
        <v>1063</v>
      </c>
      <c r="F1228" t="s">
        <v>18</v>
      </c>
      <c r="G1228" t="s">
        <v>68</v>
      </c>
      <c r="H1228">
        <v>0</v>
      </c>
      <c r="I1228">
        <v>10</v>
      </c>
      <c r="J1228">
        <v>20930</v>
      </c>
      <c r="K1228">
        <v>209300</v>
      </c>
      <c r="L1228">
        <v>0</v>
      </c>
      <c r="M1228">
        <v>209300</v>
      </c>
      <c r="N1228" t="s">
        <v>1064</v>
      </c>
      <c r="O1228" t="s">
        <v>680</v>
      </c>
    </row>
    <row r="1229" spans="1:15" x14ac:dyDescent="0.3">
      <c r="A1229" t="str">
        <f t="shared" si="19"/>
        <v>WDWPMF0000305-IVLUW</v>
      </c>
      <c r="B1229" t="s">
        <v>14</v>
      </c>
      <c r="C1229" t="s">
        <v>1065</v>
      </c>
      <c r="D1229" t="s">
        <v>1066</v>
      </c>
      <c r="E1229" t="s">
        <v>1067</v>
      </c>
      <c r="F1229" t="s">
        <v>18</v>
      </c>
      <c r="G1229" t="s">
        <v>68</v>
      </c>
      <c r="H1229">
        <v>0</v>
      </c>
      <c r="I1229">
        <v>16</v>
      </c>
      <c r="J1229">
        <v>20930</v>
      </c>
      <c r="K1229">
        <v>334880</v>
      </c>
      <c r="L1229">
        <v>0</v>
      </c>
      <c r="M1229">
        <v>334880</v>
      </c>
      <c r="N1229" t="s">
        <v>1068</v>
      </c>
      <c r="O1229" t="s">
        <v>680</v>
      </c>
    </row>
    <row r="1230" spans="1:15" x14ac:dyDescent="0.3">
      <c r="A1230" t="str">
        <f t="shared" si="19"/>
        <v>WDWPMF0000306-IVRM</v>
      </c>
      <c r="B1230" t="s">
        <v>14</v>
      </c>
      <c r="C1230" t="s">
        <v>1069</v>
      </c>
      <c r="D1230" t="s">
        <v>1070</v>
      </c>
      <c r="E1230" t="s">
        <v>1071</v>
      </c>
      <c r="F1230" t="s">
        <v>18</v>
      </c>
      <c r="G1230" t="s">
        <v>68</v>
      </c>
      <c r="H1230">
        <v>0</v>
      </c>
      <c r="I1230">
        <v>36</v>
      </c>
      <c r="J1230">
        <v>20930</v>
      </c>
      <c r="K1230">
        <v>753480</v>
      </c>
      <c r="L1230">
        <v>0</v>
      </c>
      <c r="M1230">
        <v>753480</v>
      </c>
      <c r="N1230" t="s">
        <v>1072</v>
      </c>
      <c r="O1230" t="s">
        <v>680</v>
      </c>
    </row>
    <row r="1231" spans="1:15" x14ac:dyDescent="0.3">
      <c r="A1231" t="str">
        <f t="shared" si="19"/>
        <v>WDWPMF0000307-IVTM</v>
      </c>
      <c r="B1231" t="s">
        <v>14</v>
      </c>
      <c r="C1231" t="s">
        <v>1073</v>
      </c>
      <c r="D1231" t="s">
        <v>1074</v>
      </c>
      <c r="E1231" t="s">
        <v>1075</v>
      </c>
      <c r="F1231" t="s">
        <v>18</v>
      </c>
      <c r="G1231" t="s">
        <v>68</v>
      </c>
      <c r="H1231">
        <v>0</v>
      </c>
      <c r="I1231">
        <v>29</v>
      </c>
      <c r="J1231">
        <v>20930</v>
      </c>
      <c r="K1231">
        <v>606970</v>
      </c>
      <c r="L1231">
        <v>0</v>
      </c>
      <c r="M1231">
        <v>606970</v>
      </c>
      <c r="N1231" t="s">
        <v>1076</v>
      </c>
      <c r="O1231" t="s">
        <v>680</v>
      </c>
    </row>
    <row r="1232" spans="1:15" x14ac:dyDescent="0.3">
      <c r="A1232" t="str">
        <f t="shared" si="19"/>
        <v>WDWPMF0000308-GYMLUW</v>
      </c>
      <c r="B1232" t="s">
        <v>14</v>
      </c>
      <c r="C1232" t="s">
        <v>1077</v>
      </c>
      <c r="D1232" t="s">
        <v>1078</v>
      </c>
      <c r="E1232" t="s">
        <v>1079</v>
      </c>
      <c r="F1232" t="s">
        <v>18</v>
      </c>
      <c r="G1232" t="s">
        <v>68</v>
      </c>
      <c r="H1232">
        <v>0</v>
      </c>
      <c r="I1232">
        <v>7</v>
      </c>
      <c r="J1232">
        <v>23590</v>
      </c>
      <c r="K1232">
        <v>165130</v>
      </c>
      <c r="L1232">
        <v>0</v>
      </c>
      <c r="M1232">
        <v>165130</v>
      </c>
      <c r="N1232" t="s">
        <v>1080</v>
      </c>
      <c r="O1232" t="s">
        <v>680</v>
      </c>
    </row>
    <row r="1233" spans="1:15" x14ac:dyDescent="0.3">
      <c r="A1233" t="str">
        <f t="shared" si="19"/>
        <v>WDWPMF0000309-GYMRM</v>
      </c>
      <c r="B1233" t="s">
        <v>14</v>
      </c>
      <c r="C1233" t="s">
        <v>1081</v>
      </c>
      <c r="D1233" t="s">
        <v>1082</v>
      </c>
      <c r="E1233" t="s">
        <v>1083</v>
      </c>
      <c r="F1233" t="s">
        <v>18</v>
      </c>
      <c r="G1233" t="s">
        <v>68</v>
      </c>
      <c r="H1233">
        <v>0</v>
      </c>
      <c r="I1233">
        <v>11</v>
      </c>
      <c r="J1233">
        <v>23590</v>
      </c>
      <c r="K1233">
        <v>259490</v>
      </c>
      <c r="L1233">
        <v>0</v>
      </c>
      <c r="M1233">
        <v>259490</v>
      </c>
      <c r="N1233" t="s">
        <v>1084</v>
      </c>
      <c r="O1233" t="s">
        <v>680</v>
      </c>
    </row>
    <row r="1234" spans="1:15" x14ac:dyDescent="0.3">
      <c r="A1234" t="str">
        <f t="shared" si="19"/>
        <v>WDWPMF0000317-UW</v>
      </c>
      <c r="B1234" t="s">
        <v>14</v>
      </c>
      <c r="C1234" t="s">
        <v>1086</v>
      </c>
      <c r="D1234" t="s">
        <v>988</v>
      </c>
      <c r="E1234" t="s">
        <v>1087</v>
      </c>
      <c r="F1234" t="s">
        <v>18</v>
      </c>
      <c r="G1234" t="s">
        <v>111</v>
      </c>
      <c r="H1234">
        <v>0</v>
      </c>
      <c r="I1234">
        <v>2</v>
      </c>
      <c r="J1234">
        <v>44520</v>
      </c>
      <c r="K1234">
        <v>89040</v>
      </c>
      <c r="L1234">
        <v>0</v>
      </c>
      <c r="M1234">
        <v>89040</v>
      </c>
      <c r="N1234" t="s">
        <v>834</v>
      </c>
      <c r="O1234" t="s">
        <v>680</v>
      </c>
    </row>
    <row r="1235" spans="1:15" x14ac:dyDescent="0.3">
      <c r="A1235" t="str">
        <f t="shared" si="19"/>
        <v>WDWPMF0000379-SP</v>
      </c>
      <c r="B1235" t="s">
        <v>14</v>
      </c>
      <c r="C1235" t="s">
        <v>1088</v>
      </c>
      <c r="D1235" t="s">
        <v>201</v>
      </c>
      <c r="E1235" t="s">
        <v>1089</v>
      </c>
      <c r="F1235" t="s">
        <v>18</v>
      </c>
      <c r="G1235" t="s">
        <v>63</v>
      </c>
      <c r="H1235">
        <v>0</v>
      </c>
      <c r="I1235">
        <v>400</v>
      </c>
      <c r="J1235">
        <v>17680</v>
      </c>
      <c r="K1235">
        <v>7072000</v>
      </c>
      <c r="L1235">
        <v>0</v>
      </c>
      <c r="M1235">
        <v>7072000</v>
      </c>
      <c r="N1235" t="s">
        <v>983</v>
      </c>
      <c r="O1235" t="s">
        <v>680</v>
      </c>
    </row>
    <row r="1236" spans="1:15" x14ac:dyDescent="0.3">
      <c r="A1236" t="str">
        <f t="shared" si="19"/>
        <v>WDWPMF0000399-OAT</v>
      </c>
      <c r="B1236" t="s">
        <v>14</v>
      </c>
      <c r="C1236" t="s">
        <v>1090</v>
      </c>
      <c r="D1236" t="s">
        <v>223</v>
      </c>
      <c r="E1236" t="s">
        <v>1091</v>
      </c>
      <c r="F1236" t="s">
        <v>18</v>
      </c>
      <c r="G1236" t="s">
        <v>174</v>
      </c>
      <c r="H1236">
        <v>0</v>
      </c>
      <c r="I1236">
        <v>150</v>
      </c>
      <c r="J1236">
        <v>25210</v>
      </c>
      <c r="K1236">
        <v>3781500</v>
      </c>
      <c r="L1236">
        <v>0</v>
      </c>
      <c r="M1236">
        <v>3781500</v>
      </c>
      <c r="N1236" t="s">
        <v>1092</v>
      </c>
      <c r="O1236" t="s">
        <v>680</v>
      </c>
    </row>
    <row r="1237" spans="1:15" x14ac:dyDescent="0.3">
      <c r="A1237" t="str">
        <f t="shared" si="19"/>
        <v>WDWPMF0000399-OAT</v>
      </c>
      <c r="B1237" t="s">
        <v>14</v>
      </c>
      <c r="C1237" t="s">
        <v>1090</v>
      </c>
      <c r="D1237" t="s">
        <v>223</v>
      </c>
      <c r="E1237" t="s">
        <v>1091</v>
      </c>
      <c r="F1237" t="s">
        <v>18</v>
      </c>
      <c r="G1237" t="s">
        <v>246</v>
      </c>
      <c r="H1237">
        <v>0</v>
      </c>
      <c r="I1237">
        <v>120</v>
      </c>
      <c r="J1237">
        <v>25210</v>
      </c>
      <c r="K1237">
        <v>3025200</v>
      </c>
      <c r="L1237">
        <v>0</v>
      </c>
      <c r="M1237">
        <v>3025200</v>
      </c>
      <c r="N1237" t="s">
        <v>1092</v>
      </c>
      <c r="O1237" t="s">
        <v>680</v>
      </c>
    </row>
    <row r="1238" spans="1:15" x14ac:dyDescent="0.3">
      <c r="A1238" t="str">
        <f t="shared" si="19"/>
        <v>WDWPMF0000399-OAT</v>
      </c>
      <c r="B1238" t="s">
        <v>14</v>
      </c>
      <c r="C1238" t="s">
        <v>1090</v>
      </c>
      <c r="D1238" t="s">
        <v>223</v>
      </c>
      <c r="E1238" t="s">
        <v>1091</v>
      </c>
      <c r="F1238" t="s">
        <v>18</v>
      </c>
      <c r="G1238" t="s">
        <v>19</v>
      </c>
      <c r="H1238">
        <v>0</v>
      </c>
      <c r="I1238">
        <v>679</v>
      </c>
      <c r="J1238">
        <v>25210</v>
      </c>
      <c r="K1238">
        <v>17117590</v>
      </c>
      <c r="L1238">
        <v>0</v>
      </c>
      <c r="M1238">
        <v>17117590</v>
      </c>
      <c r="N1238" t="s">
        <v>1092</v>
      </c>
      <c r="O1238" t="s">
        <v>680</v>
      </c>
    </row>
    <row r="1239" spans="1:15" x14ac:dyDescent="0.3">
      <c r="A1239" t="str">
        <f t="shared" si="19"/>
        <v>WDWPMF0000399-OAT</v>
      </c>
      <c r="B1239" t="s">
        <v>14</v>
      </c>
      <c r="C1239" t="s">
        <v>1090</v>
      </c>
      <c r="D1239" t="s">
        <v>223</v>
      </c>
      <c r="E1239" t="s">
        <v>1091</v>
      </c>
      <c r="F1239" t="s">
        <v>18</v>
      </c>
      <c r="G1239" t="s">
        <v>49</v>
      </c>
      <c r="H1239">
        <v>0</v>
      </c>
      <c r="I1239">
        <v>532</v>
      </c>
      <c r="J1239">
        <v>25210</v>
      </c>
      <c r="K1239">
        <v>13411720</v>
      </c>
      <c r="L1239">
        <v>0</v>
      </c>
      <c r="M1239">
        <v>13411720</v>
      </c>
      <c r="N1239" t="s">
        <v>1092</v>
      </c>
      <c r="O1239" t="s">
        <v>680</v>
      </c>
    </row>
    <row r="1240" spans="1:15" x14ac:dyDescent="0.3">
      <c r="A1240" t="str">
        <f t="shared" si="19"/>
        <v>WDWPMF0000399-OAT</v>
      </c>
      <c r="B1240" t="s">
        <v>14</v>
      </c>
      <c r="C1240" t="s">
        <v>1090</v>
      </c>
      <c r="D1240" t="s">
        <v>223</v>
      </c>
      <c r="E1240" t="s">
        <v>1091</v>
      </c>
      <c r="F1240" t="s">
        <v>18</v>
      </c>
      <c r="G1240" t="s">
        <v>210</v>
      </c>
      <c r="H1240">
        <v>0</v>
      </c>
      <c r="I1240">
        <v>40</v>
      </c>
      <c r="J1240">
        <v>25210</v>
      </c>
      <c r="K1240">
        <v>1008400</v>
      </c>
      <c r="L1240">
        <v>0</v>
      </c>
      <c r="M1240">
        <v>1008400</v>
      </c>
      <c r="N1240" t="s">
        <v>1092</v>
      </c>
      <c r="O1240" t="s">
        <v>680</v>
      </c>
    </row>
    <row r="1241" spans="1:15" x14ac:dyDescent="0.3">
      <c r="A1241" t="str">
        <f t="shared" si="19"/>
        <v>WDWPMF0000399-OAT</v>
      </c>
      <c r="B1241" t="s">
        <v>14</v>
      </c>
      <c r="C1241" t="s">
        <v>1090</v>
      </c>
      <c r="D1241" t="s">
        <v>223</v>
      </c>
      <c r="E1241" t="s">
        <v>1091</v>
      </c>
      <c r="F1241" t="s">
        <v>18</v>
      </c>
      <c r="G1241" t="s">
        <v>111</v>
      </c>
      <c r="H1241">
        <v>0</v>
      </c>
      <c r="I1241">
        <v>23</v>
      </c>
      <c r="J1241">
        <v>25210</v>
      </c>
      <c r="K1241">
        <v>579830</v>
      </c>
      <c r="L1241">
        <v>0</v>
      </c>
      <c r="M1241">
        <v>579830</v>
      </c>
      <c r="N1241" t="s">
        <v>1092</v>
      </c>
      <c r="O1241" t="s">
        <v>680</v>
      </c>
    </row>
    <row r="1242" spans="1:15" x14ac:dyDescent="0.3">
      <c r="A1242" t="str">
        <f t="shared" si="19"/>
        <v>WDWPMF0000404-OAT</v>
      </c>
      <c r="B1242" t="s">
        <v>14</v>
      </c>
      <c r="C1242" t="s">
        <v>1093</v>
      </c>
      <c r="D1242" t="s">
        <v>223</v>
      </c>
      <c r="E1242" t="s">
        <v>1094</v>
      </c>
      <c r="F1242" t="s">
        <v>18</v>
      </c>
      <c r="G1242" t="s">
        <v>111</v>
      </c>
      <c r="H1242">
        <v>0</v>
      </c>
      <c r="I1242">
        <v>50</v>
      </c>
      <c r="J1242">
        <v>19790</v>
      </c>
      <c r="K1242">
        <v>989500</v>
      </c>
      <c r="L1242">
        <v>0</v>
      </c>
      <c r="M1242">
        <v>989500</v>
      </c>
      <c r="N1242" t="s">
        <v>884</v>
      </c>
      <c r="O1242" t="s">
        <v>680</v>
      </c>
    </row>
    <row r="1243" spans="1:15" x14ac:dyDescent="0.3">
      <c r="A1243" t="str">
        <f t="shared" si="19"/>
        <v>WDWPMF0000412-OAT</v>
      </c>
      <c r="B1243" t="s">
        <v>14</v>
      </c>
      <c r="C1243" t="s">
        <v>1932</v>
      </c>
      <c r="D1243" t="s">
        <v>223</v>
      </c>
      <c r="E1243" t="s">
        <v>1933</v>
      </c>
      <c r="F1243" t="s">
        <v>18</v>
      </c>
      <c r="G1243" t="s">
        <v>26</v>
      </c>
      <c r="H1243">
        <v>0</v>
      </c>
      <c r="I1243">
        <v>230</v>
      </c>
      <c r="J1243">
        <v>31690</v>
      </c>
      <c r="K1243">
        <v>7288700</v>
      </c>
      <c r="L1243">
        <v>0</v>
      </c>
      <c r="M1243">
        <v>7288700</v>
      </c>
      <c r="N1243" t="s">
        <v>856</v>
      </c>
      <c r="O1243" t="s">
        <v>680</v>
      </c>
    </row>
    <row r="1244" spans="1:15" x14ac:dyDescent="0.3">
      <c r="A1244" t="str">
        <f t="shared" si="19"/>
        <v>ETET000425-R000-NT</v>
      </c>
      <c r="B1244" t="s">
        <v>14</v>
      </c>
      <c r="C1244" t="s">
        <v>1095</v>
      </c>
      <c r="D1244" t="s">
        <v>52</v>
      </c>
      <c r="E1244" t="s">
        <v>1096</v>
      </c>
      <c r="F1244" t="s">
        <v>18</v>
      </c>
      <c r="G1244" t="s">
        <v>210</v>
      </c>
      <c r="H1244">
        <v>0</v>
      </c>
      <c r="I1244">
        <v>675</v>
      </c>
      <c r="J1244">
        <v>4600</v>
      </c>
      <c r="K1244">
        <v>3105000</v>
      </c>
      <c r="L1244">
        <v>0</v>
      </c>
      <c r="M1244">
        <v>3105000</v>
      </c>
      <c r="N1244" t="s">
        <v>1097</v>
      </c>
      <c r="O1244" t="s">
        <v>1098</v>
      </c>
    </row>
    <row r="1245" spans="1:15" x14ac:dyDescent="0.3">
      <c r="A1245" t="str">
        <f t="shared" si="19"/>
        <v>ETET000425-R000-NT</v>
      </c>
      <c r="B1245" t="s">
        <v>14</v>
      </c>
      <c r="C1245" t="s">
        <v>1095</v>
      </c>
      <c r="D1245" t="s">
        <v>52</v>
      </c>
      <c r="E1245" t="s">
        <v>1096</v>
      </c>
      <c r="F1245" t="s">
        <v>18</v>
      </c>
      <c r="G1245" t="s">
        <v>239</v>
      </c>
      <c r="H1245">
        <v>0</v>
      </c>
      <c r="I1245">
        <v>500</v>
      </c>
      <c r="J1245">
        <v>4600</v>
      </c>
      <c r="K1245">
        <v>2300000</v>
      </c>
      <c r="L1245">
        <v>0</v>
      </c>
      <c r="M1245">
        <v>2300000</v>
      </c>
      <c r="N1245" t="s">
        <v>1097</v>
      </c>
      <c r="O1245" t="s">
        <v>1098</v>
      </c>
    </row>
    <row r="1246" spans="1:15" x14ac:dyDescent="0.3">
      <c r="A1246" t="str">
        <f t="shared" si="19"/>
        <v>ETET000425-R000-NT</v>
      </c>
      <c r="B1246" t="s">
        <v>14</v>
      </c>
      <c r="C1246" t="s">
        <v>1095</v>
      </c>
      <c r="D1246" t="s">
        <v>52</v>
      </c>
      <c r="E1246" t="s">
        <v>1096</v>
      </c>
      <c r="F1246" t="s">
        <v>18</v>
      </c>
      <c r="G1246" t="s">
        <v>120</v>
      </c>
      <c r="H1246">
        <v>0</v>
      </c>
      <c r="I1246">
        <v>6000</v>
      </c>
      <c r="J1246">
        <v>4600</v>
      </c>
      <c r="K1246">
        <v>27600000</v>
      </c>
      <c r="L1246">
        <v>0</v>
      </c>
      <c r="M1246">
        <v>27600000</v>
      </c>
      <c r="N1246" t="s">
        <v>1097</v>
      </c>
      <c r="O1246" t="s">
        <v>1098</v>
      </c>
    </row>
    <row r="1247" spans="1:15" x14ac:dyDescent="0.3">
      <c r="A1247" t="str">
        <f t="shared" si="19"/>
        <v>ETET000425-R000-NT</v>
      </c>
      <c r="B1247" t="s">
        <v>14</v>
      </c>
      <c r="C1247" t="s">
        <v>1095</v>
      </c>
      <c r="D1247" t="s">
        <v>52</v>
      </c>
      <c r="E1247" t="s">
        <v>1096</v>
      </c>
      <c r="F1247" t="s">
        <v>18</v>
      </c>
      <c r="G1247" t="s">
        <v>246</v>
      </c>
      <c r="H1247">
        <v>0</v>
      </c>
      <c r="I1247">
        <v>1000</v>
      </c>
      <c r="J1247">
        <v>4600</v>
      </c>
      <c r="K1247">
        <v>4600000</v>
      </c>
      <c r="L1247">
        <v>0</v>
      </c>
      <c r="M1247">
        <v>4600000</v>
      </c>
      <c r="N1247" t="s">
        <v>1097</v>
      </c>
      <c r="O1247" t="s">
        <v>1098</v>
      </c>
    </row>
    <row r="1248" spans="1:15" x14ac:dyDescent="0.3">
      <c r="A1248" t="str">
        <f t="shared" si="19"/>
        <v>ETET000425-R000-NT</v>
      </c>
      <c r="B1248" t="s">
        <v>14</v>
      </c>
      <c r="C1248" t="s">
        <v>1095</v>
      </c>
      <c r="D1248" t="s">
        <v>52</v>
      </c>
      <c r="E1248" t="s">
        <v>1096</v>
      </c>
      <c r="F1248" t="s">
        <v>18</v>
      </c>
      <c r="G1248" t="s">
        <v>35</v>
      </c>
      <c r="H1248">
        <v>0</v>
      </c>
      <c r="I1248">
        <v>4000</v>
      </c>
      <c r="J1248">
        <v>4600</v>
      </c>
      <c r="K1248">
        <v>18400000</v>
      </c>
      <c r="L1248">
        <v>0</v>
      </c>
      <c r="M1248">
        <v>18400000</v>
      </c>
      <c r="N1248" t="s">
        <v>1097</v>
      </c>
      <c r="O1248" t="s">
        <v>1098</v>
      </c>
    </row>
    <row r="1249" spans="1:15" x14ac:dyDescent="0.3">
      <c r="A1249" t="str">
        <f t="shared" si="19"/>
        <v>ETET000425-R000-NT</v>
      </c>
      <c r="B1249" t="s">
        <v>14</v>
      </c>
      <c r="C1249" t="s">
        <v>1095</v>
      </c>
      <c r="D1249" t="s">
        <v>52</v>
      </c>
      <c r="E1249" t="s">
        <v>1096</v>
      </c>
      <c r="F1249" t="s">
        <v>18</v>
      </c>
      <c r="G1249" t="s">
        <v>68</v>
      </c>
      <c r="H1249">
        <v>0</v>
      </c>
      <c r="I1249">
        <v>1000</v>
      </c>
      <c r="J1249">
        <v>4600</v>
      </c>
      <c r="K1249">
        <v>4600000</v>
      </c>
      <c r="L1249">
        <v>0</v>
      </c>
      <c r="M1249">
        <v>4600000</v>
      </c>
      <c r="N1249" t="s">
        <v>1097</v>
      </c>
      <c r="O1249" t="s">
        <v>1098</v>
      </c>
    </row>
    <row r="1250" spans="1:15" x14ac:dyDescent="0.3">
      <c r="A1250" t="str">
        <f t="shared" si="19"/>
        <v>ETET000425-R000-NT</v>
      </c>
      <c r="B1250" t="s">
        <v>14</v>
      </c>
      <c r="C1250" t="s">
        <v>1095</v>
      </c>
      <c r="D1250" t="s">
        <v>52</v>
      </c>
      <c r="E1250" t="s">
        <v>1096</v>
      </c>
      <c r="F1250" t="s">
        <v>18</v>
      </c>
      <c r="G1250" t="s">
        <v>111</v>
      </c>
      <c r="H1250">
        <v>0</v>
      </c>
      <c r="I1250">
        <v>500</v>
      </c>
      <c r="J1250">
        <v>4600</v>
      </c>
      <c r="K1250">
        <v>2300000</v>
      </c>
      <c r="L1250">
        <v>0</v>
      </c>
      <c r="M1250">
        <v>2300000</v>
      </c>
      <c r="N1250" t="s">
        <v>1097</v>
      </c>
      <c r="O1250" t="s">
        <v>1098</v>
      </c>
    </row>
    <row r="1251" spans="1:15" x14ac:dyDescent="0.3">
      <c r="A1251" t="str">
        <f t="shared" si="19"/>
        <v>ETET000425-R000-NT</v>
      </c>
      <c r="B1251" t="s">
        <v>14</v>
      </c>
      <c r="C1251" t="s">
        <v>1095</v>
      </c>
      <c r="D1251" t="s">
        <v>52</v>
      </c>
      <c r="E1251" t="s">
        <v>1096</v>
      </c>
      <c r="F1251" t="s">
        <v>18</v>
      </c>
      <c r="G1251" t="s">
        <v>49</v>
      </c>
      <c r="H1251">
        <v>0</v>
      </c>
      <c r="I1251">
        <v>750</v>
      </c>
      <c r="J1251">
        <v>4600</v>
      </c>
      <c r="K1251">
        <v>3450000</v>
      </c>
      <c r="L1251">
        <v>0</v>
      </c>
      <c r="M1251">
        <v>3450000</v>
      </c>
      <c r="N1251" t="s">
        <v>1097</v>
      </c>
      <c r="O1251" t="s">
        <v>1098</v>
      </c>
    </row>
    <row r="1252" spans="1:15" x14ac:dyDescent="0.3">
      <c r="A1252" t="str">
        <f t="shared" si="19"/>
        <v>ETET000425-R000-NT</v>
      </c>
      <c r="B1252" t="s">
        <v>14</v>
      </c>
      <c r="C1252" t="s">
        <v>1095</v>
      </c>
      <c r="D1252" t="s">
        <v>52</v>
      </c>
      <c r="E1252" t="s">
        <v>1096</v>
      </c>
      <c r="F1252" t="s">
        <v>18</v>
      </c>
      <c r="G1252" t="s">
        <v>26</v>
      </c>
      <c r="H1252">
        <v>0</v>
      </c>
      <c r="I1252">
        <v>275</v>
      </c>
      <c r="J1252">
        <v>4600</v>
      </c>
      <c r="K1252">
        <v>1265000</v>
      </c>
      <c r="L1252">
        <v>0</v>
      </c>
      <c r="M1252">
        <v>1265000</v>
      </c>
      <c r="N1252" t="s">
        <v>1097</v>
      </c>
      <c r="O1252" t="s">
        <v>1098</v>
      </c>
    </row>
    <row r="1253" spans="1:15" x14ac:dyDescent="0.3">
      <c r="A1253" t="str">
        <f t="shared" si="19"/>
        <v>ETFS000053-R000-XX</v>
      </c>
      <c r="B1253" t="s">
        <v>14</v>
      </c>
      <c r="C1253" t="s">
        <v>1099</v>
      </c>
      <c r="D1253" t="s">
        <v>16</v>
      </c>
      <c r="E1253" t="s">
        <v>1100</v>
      </c>
      <c r="F1253" t="s">
        <v>18</v>
      </c>
      <c r="G1253" t="s">
        <v>35</v>
      </c>
      <c r="H1253">
        <v>0</v>
      </c>
      <c r="I1253">
        <v>500</v>
      </c>
      <c r="J1253">
        <v>19</v>
      </c>
      <c r="K1253">
        <v>9500</v>
      </c>
      <c r="L1253">
        <v>0</v>
      </c>
      <c r="M1253">
        <v>9500</v>
      </c>
      <c r="N1253" t="s">
        <v>1101</v>
      </c>
      <c r="O1253" t="s">
        <v>1098</v>
      </c>
    </row>
    <row r="1254" spans="1:15" x14ac:dyDescent="0.3">
      <c r="A1254" t="str">
        <f t="shared" si="19"/>
        <v>ETFS000080-R000-WH</v>
      </c>
      <c r="B1254" t="s">
        <v>14</v>
      </c>
      <c r="C1254" t="s">
        <v>1934</v>
      </c>
      <c r="D1254" t="s">
        <v>65</v>
      </c>
      <c r="E1254" t="s">
        <v>1935</v>
      </c>
      <c r="F1254" t="s">
        <v>18</v>
      </c>
      <c r="G1254" t="s">
        <v>29</v>
      </c>
      <c r="H1254">
        <v>0</v>
      </c>
      <c r="I1254">
        <v>6</v>
      </c>
      <c r="J1254">
        <v>26</v>
      </c>
      <c r="K1254">
        <v>156</v>
      </c>
      <c r="L1254">
        <v>0</v>
      </c>
      <c r="M1254">
        <v>156</v>
      </c>
      <c r="N1254" t="s">
        <v>1289</v>
      </c>
      <c r="O1254" t="s">
        <v>1098</v>
      </c>
    </row>
    <row r="1255" spans="1:15" x14ac:dyDescent="0.3">
      <c r="A1255" t="str">
        <f t="shared" si="19"/>
        <v>ETFS000081-R000-BK</v>
      </c>
      <c r="B1255" t="s">
        <v>14</v>
      </c>
      <c r="C1255" t="s">
        <v>1102</v>
      </c>
      <c r="D1255" t="s">
        <v>31</v>
      </c>
      <c r="E1255" t="s">
        <v>1103</v>
      </c>
      <c r="F1255" t="s">
        <v>18</v>
      </c>
      <c r="G1255" t="s">
        <v>29</v>
      </c>
      <c r="H1255">
        <v>0</v>
      </c>
      <c r="I1255">
        <v>32</v>
      </c>
      <c r="J1255">
        <v>21</v>
      </c>
      <c r="K1255">
        <v>672</v>
      </c>
      <c r="L1255">
        <v>0</v>
      </c>
      <c r="M1255">
        <v>672</v>
      </c>
      <c r="N1255" t="s">
        <v>1104</v>
      </c>
      <c r="O1255" t="s">
        <v>1098</v>
      </c>
    </row>
    <row r="1256" spans="1:15" x14ac:dyDescent="0.3">
      <c r="A1256" t="str">
        <f t="shared" si="19"/>
        <v>ETFS000093-R000-NI</v>
      </c>
      <c r="B1256" t="s">
        <v>14</v>
      </c>
      <c r="C1256" t="s">
        <v>1936</v>
      </c>
      <c r="D1256" t="s">
        <v>67</v>
      </c>
      <c r="E1256" t="s">
        <v>1937</v>
      </c>
      <c r="F1256" t="s">
        <v>18</v>
      </c>
      <c r="G1256" t="s">
        <v>19</v>
      </c>
      <c r="H1256">
        <v>0</v>
      </c>
      <c r="I1256">
        <v>2000</v>
      </c>
      <c r="J1256">
        <v>12</v>
      </c>
      <c r="K1256">
        <v>24000</v>
      </c>
      <c r="L1256">
        <v>0</v>
      </c>
      <c r="M1256">
        <v>24000</v>
      </c>
      <c r="N1256" t="s">
        <v>1938</v>
      </c>
      <c r="O1256" t="s">
        <v>1098</v>
      </c>
    </row>
    <row r="1257" spans="1:15" x14ac:dyDescent="0.3">
      <c r="A1257" t="str">
        <f t="shared" si="19"/>
        <v>ETFS000099-R000-NI</v>
      </c>
      <c r="B1257" t="s">
        <v>14</v>
      </c>
      <c r="C1257" t="s">
        <v>1105</v>
      </c>
      <c r="D1257" t="s">
        <v>67</v>
      </c>
      <c r="E1257" t="s">
        <v>1106</v>
      </c>
      <c r="F1257" t="s">
        <v>18</v>
      </c>
      <c r="G1257" t="s">
        <v>49</v>
      </c>
      <c r="H1257">
        <v>0</v>
      </c>
      <c r="I1257">
        <v>6000</v>
      </c>
      <c r="J1257">
        <v>10</v>
      </c>
      <c r="K1257">
        <v>60000</v>
      </c>
      <c r="L1257">
        <v>0</v>
      </c>
      <c r="M1257">
        <v>60000</v>
      </c>
      <c r="O1257" t="s">
        <v>1098</v>
      </c>
    </row>
    <row r="1258" spans="1:15" x14ac:dyDescent="0.3">
      <c r="A1258" t="str">
        <f t="shared" si="19"/>
        <v>ETFS000103-R000-NI</v>
      </c>
      <c r="B1258" t="s">
        <v>14</v>
      </c>
      <c r="C1258" t="s">
        <v>1939</v>
      </c>
      <c r="D1258" t="s">
        <v>67</v>
      </c>
      <c r="E1258" t="s">
        <v>1940</v>
      </c>
      <c r="F1258" t="s">
        <v>18</v>
      </c>
      <c r="G1258" t="s">
        <v>22</v>
      </c>
      <c r="H1258">
        <v>0</v>
      </c>
      <c r="I1258">
        <v>6000</v>
      </c>
      <c r="J1258">
        <v>5</v>
      </c>
      <c r="K1258">
        <v>30000</v>
      </c>
      <c r="L1258">
        <v>0</v>
      </c>
      <c r="M1258">
        <v>30000</v>
      </c>
      <c r="N1258" t="s">
        <v>1941</v>
      </c>
      <c r="O1258" t="s">
        <v>1098</v>
      </c>
    </row>
    <row r="1259" spans="1:15" x14ac:dyDescent="0.3">
      <c r="A1259" t="str">
        <f t="shared" si="19"/>
        <v>ETFS000106-R000-NI</v>
      </c>
      <c r="B1259" t="s">
        <v>14</v>
      </c>
      <c r="C1259" t="s">
        <v>1107</v>
      </c>
      <c r="D1259" t="s">
        <v>67</v>
      </c>
      <c r="E1259" t="s">
        <v>1108</v>
      </c>
      <c r="F1259" t="s">
        <v>18</v>
      </c>
      <c r="G1259" t="s">
        <v>29</v>
      </c>
      <c r="H1259">
        <v>0</v>
      </c>
      <c r="I1259">
        <v>12</v>
      </c>
      <c r="J1259">
        <v>7</v>
      </c>
      <c r="K1259">
        <v>84</v>
      </c>
      <c r="L1259">
        <v>0</v>
      </c>
      <c r="M1259">
        <v>84</v>
      </c>
      <c r="N1259" t="s">
        <v>1109</v>
      </c>
      <c r="O1259" t="s">
        <v>1098</v>
      </c>
    </row>
    <row r="1260" spans="1:15" x14ac:dyDescent="0.3">
      <c r="A1260" t="str">
        <f t="shared" si="19"/>
        <v>ETFS000106-R000-NI</v>
      </c>
      <c r="B1260" t="s">
        <v>14</v>
      </c>
      <c r="C1260" t="s">
        <v>1107</v>
      </c>
      <c r="D1260" t="s">
        <v>67</v>
      </c>
      <c r="E1260" t="s">
        <v>1108</v>
      </c>
      <c r="F1260" t="s">
        <v>18</v>
      </c>
      <c r="G1260" t="s">
        <v>448</v>
      </c>
      <c r="H1260">
        <v>0</v>
      </c>
      <c r="I1260">
        <v>2000</v>
      </c>
      <c r="J1260">
        <v>7</v>
      </c>
      <c r="K1260">
        <v>14000</v>
      </c>
      <c r="L1260">
        <v>0</v>
      </c>
      <c r="M1260">
        <v>14000</v>
      </c>
      <c r="N1260" t="s">
        <v>1109</v>
      </c>
      <c r="O1260" t="s">
        <v>1098</v>
      </c>
    </row>
    <row r="1261" spans="1:15" x14ac:dyDescent="0.3">
      <c r="A1261" t="str">
        <f t="shared" si="19"/>
        <v>ETFS000107-R000-NI</v>
      </c>
      <c r="B1261" t="s">
        <v>14</v>
      </c>
      <c r="C1261" t="s">
        <v>1110</v>
      </c>
      <c r="D1261" t="s">
        <v>67</v>
      </c>
      <c r="E1261" t="s">
        <v>1111</v>
      </c>
      <c r="F1261" t="s">
        <v>18</v>
      </c>
      <c r="G1261" t="s">
        <v>239</v>
      </c>
      <c r="H1261">
        <v>0</v>
      </c>
      <c r="I1261">
        <v>9000</v>
      </c>
      <c r="J1261">
        <v>8</v>
      </c>
      <c r="K1261">
        <v>72000</v>
      </c>
      <c r="L1261">
        <v>0</v>
      </c>
      <c r="M1261">
        <v>72000</v>
      </c>
      <c r="N1261" t="s">
        <v>1112</v>
      </c>
      <c r="O1261" t="s">
        <v>1098</v>
      </c>
    </row>
    <row r="1262" spans="1:15" x14ac:dyDescent="0.3">
      <c r="A1262" t="str">
        <f t="shared" si="19"/>
        <v>ETFS000109-R000-BK</v>
      </c>
      <c r="B1262" t="s">
        <v>14</v>
      </c>
      <c r="C1262" t="s">
        <v>1113</v>
      </c>
      <c r="D1262" t="s">
        <v>31</v>
      </c>
      <c r="E1262" t="s">
        <v>1942</v>
      </c>
      <c r="F1262" t="s">
        <v>18</v>
      </c>
      <c r="G1262" t="s">
        <v>29</v>
      </c>
      <c r="H1262">
        <v>0</v>
      </c>
      <c r="I1262">
        <v>6</v>
      </c>
      <c r="J1262">
        <v>10</v>
      </c>
      <c r="K1262">
        <v>60</v>
      </c>
      <c r="L1262">
        <v>0</v>
      </c>
      <c r="M1262">
        <v>60</v>
      </c>
      <c r="N1262" t="s">
        <v>1943</v>
      </c>
      <c r="O1262" t="s">
        <v>1098</v>
      </c>
    </row>
    <row r="1263" spans="1:15" x14ac:dyDescent="0.3">
      <c r="A1263" t="str">
        <f t="shared" si="19"/>
        <v>ETFS000114-R000-NI</v>
      </c>
      <c r="B1263" t="s">
        <v>14</v>
      </c>
      <c r="C1263" t="s">
        <v>1114</v>
      </c>
      <c r="D1263" t="s">
        <v>67</v>
      </c>
      <c r="E1263" t="s">
        <v>1115</v>
      </c>
      <c r="F1263" t="s">
        <v>18</v>
      </c>
      <c r="G1263" t="s">
        <v>29</v>
      </c>
      <c r="H1263">
        <v>0</v>
      </c>
      <c r="I1263">
        <v>4</v>
      </c>
      <c r="J1263">
        <v>5</v>
      </c>
      <c r="K1263">
        <v>20</v>
      </c>
      <c r="L1263">
        <v>0</v>
      </c>
      <c r="M1263">
        <v>20</v>
      </c>
      <c r="N1263" t="s">
        <v>1116</v>
      </c>
      <c r="O1263" t="s">
        <v>1098</v>
      </c>
    </row>
    <row r="1264" spans="1:15" x14ac:dyDescent="0.3">
      <c r="A1264" t="str">
        <f t="shared" si="19"/>
        <v>ETFS000130-R000-NI</v>
      </c>
      <c r="B1264" t="s">
        <v>14</v>
      </c>
      <c r="C1264" t="s">
        <v>1566</v>
      </c>
      <c r="D1264" t="s">
        <v>67</v>
      </c>
      <c r="E1264" t="s">
        <v>1944</v>
      </c>
      <c r="F1264" t="s">
        <v>18</v>
      </c>
      <c r="G1264" t="s">
        <v>22</v>
      </c>
      <c r="H1264">
        <v>0</v>
      </c>
      <c r="I1264">
        <v>24</v>
      </c>
      <c r="J1264">
        <v>16</v>
      </c>
      <c r="K1264">
        <v>384</v>
      </c>
      <c r="L1264">
        <v>0</v>
      </c>
      <c r="M1264">
        <v>384</v>
      </c>
      <c r="N1264" t="s">
        <v>1567</v>
      </c>
      <c r="O1264" t="s">
        <v>1098</v>
      </c>
    </row>
    <row r="1265" spans="1:15" x14ac:dyDescent="0.3">
      <c r="A1265" t="str">
        <f t="shared" si="19"/>
        <v>ETFS000130-R000-NI</v>
      </c>
      <c r="B1265" t="s">
        <v>14</v>
      </c>
      <c r="C1265" t="s">
        <v>1566</v>
      </c>
      <c r="D1265" t="s">
        <v>67</v>
      </c>
      <c r="E1265" t="s">
        <v>1944</v>
      </c>
      <c r="F1265" t="s">
        <v>18</v>
      </c>
      <c r="G1265" t="s">
        <v>29</v>
      </c>
      <c r="H1265">
        <v>0</v>
      </c>
      <c r="I1265">
        <v>3000</v>
      </c>
      <c r="J1265">
        <v>16</v>
      </c>
      <c r="K1265">
        <v>48000</v>
      </c>
      <c r="L1265">
        <v>0</v>
      </c>
      <c r="M1265">
        <v>48000</v>
      </c>
      <c r="N1265" t="s">
        <v>1567</v>
      </c>
      <c r="O1265" t="s">
        <v>1098</v>
      </c>
    </row>
    <row r="1266" spans="1:15" x14ac:dyDescent="0.3">
      <c r="A1266" t="str">
        <f t="shared" si="19"/>
        <v>ETFS000145-R000-NI</v>
      </c>
      <c r="B1266" t="s">
        <v>14</v>
      </c>
      <c r="C1266" t="s">
        <v>1945</v>
      </c>
      <c r="D1266" t="s">
        <v>67</v>
      </c>
      <c r="E1266" t="s">
        <v>1946</v>
      </c>
      <c r="F1266" t="s">
        <v>18</v>
      </c>
      <c r="G1266" t="s">
        <v>29</v>
      </c>
      <c r="H1266">
        <v>0</v>
      </c>
      <c r="I1266">
        <v>200</v>
      </c>
      <c r="J1266">
        <v>7</v>
      </c>
      <c r="K1266">
        <v>1400</v>
      </c>
      <c r="L1266">
        <v>0</v>
      </c>
      <c r="M1266">
        <v>1400</v>
      </c>
      <c r="N1266" t="s">
        <v>1947</v>
      </c>
      <c r="O1266" t="s">
        <v>1098</v>
      </c>
    </row>
    <row r="1267" spans="1:15" x14ac:dyDescent="0.3">
      <c r="A1267" t="str">
        <f t="shared" si="19"/>
        <v>ETFS000194-R000-NI</v>
      </c>
      <c r="B1267" t="s">
        <v>14</v>
      </c>
      <c r="C1267" t="s">
        <v>1117</v>
      </c>
      <c r="D1267" t="s">
        <v>67</v>
      </c>
      <c r="E1267" t="s">
        <v>1118</v>
      </c>
      <c r="F1267" t="s">
        <v>18</v>
      </c>
      <c r="G1267" t="s">
        <v>49</v>
      </c>
      <c r="H1267">
        <v>0</v>
      </c>
      <c r="I1267">
        <v>1000</v>
      </c>
      <c r="J1267">
        <v>16</v>
      </c>
      <c r="K1267">
        <v>16000</v>
      </c>
      <c r="L1267">
        <v>0</v>
      </c>
      <c r="M1267">
        <v>16000</v>
      </c>
      <c r="N1267" t="s">
        <v>1119</v>
      </c>
      <c r="O1267" t="s">
        <v>1098</v>
      </c>
    </row>
    <row r="1268" spans="1:15" x14ac:dyDescent="0.3">
      <c r="A1268" t="str">
        <f t="shared" si="19"/>
        <v>ETFS000204-R000-NI</v>
      </c>
      <c r="B1268" t="s">
        <v>14</v>
      </c>
      <c r="C1268" t="s">
        <v>1948</v>
      </c>
      <c r="D1268" t="s">
        <v>67</v>
      </c>
      <c r="E1268" t="s">
        <v>1949</v>
      </c>
      <c r="F1268" t="s">
        <v>18</v>
      </c>
      <c r="G1268" t="s">
        <v>22</v>
      </c>
      <c r="H1268">
        <v>0</v>
      </c>
      <c r="I1268">
        <v>4000</v>
      </c>
      <c r="J1268">
        <v>11</v>
      </c>
      <c r="K1268">
        <v>44000</v>
      </c>
      <c r="L1268">
        <v>0</v>
      </c>
      <c r="M1268">
        <v>44000</v>
      </c>
      <c r="N1268" t="s">
        <v>1950</v>
      </c>
      <c r="O1268" t="s">
        <v>1098</v>
      </c>
    </row>
    <row r="1269" spans="1:15" x14ac:dyDescent="0.3">
      <c r="A1269" t="str">
        <f t="shared" si="19"/>
        <v>ETFS000206-R000-BK</v>
      </c>
      <c r="B1269" t="s">
        <v>14</v>
      </c>
      <c r="C1269" t="s">
        <v>1120</v>
      </c>
      <c r="D1269" t="s">
        <v>31</v>
      </c>
      <c r="E1269" t="s">
        <v>1121</v>
      </c>
      <c r="F1269" t="s">
        <v>18</v>
      </c>
      <c r="G1269" t="s">
        <v>29</v>
      </c>
      <c r="H1269">
        <v>0</v>
      </c>
      <c r="I1269">
        <v>4</v>
      </c>
      <c r="J1269">
        <v>13</v>
      </c>
      <c r="K1269">
        <v>52</v>
      </c>
      <c r="L1269">
        <v>0</v>
      </c>
      <c r="M1269">
        <v>52</v>
      </c>
      <c r="N1269" t="s">
        <v>1122</v>
      </c>
      <c r="O1269" t="s">
        <v>1098</v>
      </c>
    </row>
    <row r="1270" spans="1:15" x14ac:dyDescent="0.3">
      <c r="A1270" t="str">
        <f t="shared" si="19"/>
        <v>ETFS000206-R000-NI</v>
      </c>
      <c r="B1270" t="s">
        <v>14</v>
      </c>
      <c r="C1270" t="s">
        <v>1120</v>
      </c>
      <c r="D1270" t="s">
        <v>67</v>
      </c>
      <c r="E1270" t="s">
        <v>1123</v>
      </c>
      <c r="F1270" t="s">
        <v>18</v>
      </c>
      <c r="G1270" t="s">
        <v>239</v>
      </c>
      <c r="H1270">
        <v>0</v>
      </c>
      <c r="I1270">
        <v>23000</v>
      </c>
      <c r="J1270">
        <v>13</v>
      </c>
      <c r="K1270">
        <v>299000</v>
      </c>
      <c r="L1270">
        <v>0</v>
      </c>
      <c r="M1270">
        <v>299000</v>
      </c>
      <c r="N1270" t="s">
        <v>1124</v>
      </c>
      <c r="O1270" t="s">
        <v>1098</v>
      </c>
    </row>
    <row r="1271" spans="1:15" x14ac:dyDescent="0.3">
      <c r="A1271" t="str">
        <f t="shared" si="19"/>
        <v>ETFS000207-R000-BK</v>
      </c>
      <c r="B1271" t="s">
        <v>14</v>
      </c>
      <c r="C1271" t="s">
        <v>1125</v>
      </c>
      <c r="D1271" t="s">
        <v>31</v>
      </c>
      <c r="E1271" t="s">
        <v>1126</v>
      </c>
      <c r="F1271" t="s">
        <v>18</v>
      </c>
      <c r="G1271" t="s">
        <v>22</v>
      </c>
      <c r="H1271">
        <v>0</v>
      </c>
      <c r="I1271">
        <v>16</v>
      </c>
      <c r="J1271">
        <v>15</v>
      </c>
      <c r="K1271">
        <v>240</v>
      </c>
      <c r="L1271">
        <v>0</v>
      </c>
      <c r="M1271">
        <v>240</v>
      </c>
      <c r="N1271" t="s">
        <v>1127</v>
      </c>
      <c r="O1271" t="s">
        <v>1098</v>
      </c>
    </row>
    <row r="1272" spans="1:15" x14ac:dyDescent="0.3">
      <c r="A1272" t="str">
        <f t="shared" si="19"/>
        <v>ETFS000212-R000-BK</v>
      </c>
      <c r="B1272" t="s">
        <v>14</v>
      </c>
      <c r="C1272" t="s">
        <v>1128</v>
      </c>
      <c r="D1272" t="s">
        <v>31</v>
      </c>
      <c r="E1272" t="s">
        <v>1951</v>
      </c>
      <c r="F1272" t="s">
        <v>18</v>
      </c>
      <c r="G1272" t="s">
        <v>29</v>
      </c>
      <c r="H1272">
        <v>0</v>
      </c>
      <c r="I1272">
        <v>18</v>
      </c>
      <c r="J1272">
        <v>24</v>
      </c>
      <c r="K1272">
        <v>432</v>
      </c>
      <c r="L1272">
        <v>0</v>
      </c>
      <c r="M1272">
        <v>432</v>
      </c>
      <c r="N1272" t="s">
        <v>1952</v>
      </c>
      <c r="O1272" t="s">
        <v>1098</v>
      </c>
    </row>
    <row r="1273" spans="1:15" x14ac:dyDescent="0.3">
      <c r="A1273" t="str">
        <f t="shared" si="19"/>
        <v>ETFS000212-R000-WH</v>
      </c>
      <c r="B1273" t="s">
        <v>14</v>
      </c>
      <c r="C1273" t="s">
        <v>1128</v>
      </c>
      <c r="D1273" t="s">
        <v>65</v>
      </c>
      <c r="E1273" t="s">
        <v>1129</v>
      </c>
      <c r="F1273" t="s">
        <v>18</v>
      </c>
      <c r="G1273" t="s">
        <v>19</v>
      </c>
      <c r="H1273">
        <v>0</v>
      </c>
      <c r="I1273">
        <v>2000</v>
      </c>
      <c r="J1273">
        <v>24</v>
      </c>
      <c r="K1273">
        <v>48000</v>
      </c>
      <c r="L1273">
        <v>0</v>
      </c>
      <c r="M1273">
        <v>48000</v>
      </c>
      <c r="N1273" t="s">
        <v>1130</v>
      </c>
      <c r="O1273" t="s">
        <v>1098</v>
      </c>
    </row>
    <row r="1274" spans="1:15" x14ac:dyDescent="0.3">
      <c r="A1274" t="str">
        <f t="shared" si="19"/>
        <v>ETFS000215-R000-WH</v>
      </c>
      <c r="B1274" t="s">
        <v>14</v>
      </c>
      <c r="C1274" t="s">
        <v>1131</v>
      </c>
      <c r="D1274" t="s">
        <v>65</v>
      </c>
      <c r="E1274" t="s">
        <v>1953</v>
      </c>
      <c r="F1274" t="s">
        <v>18</v>
      </c>
      <c r="G1274" t="s">
        <v>29</v>
      </c>
      <c r="H1274">
        <v>0</v>
      </c>
      <c r="I1274">
        <v>46</v>
      </c>
      <c r="J1274">
        <v>23</v>
      </c>
      <c r="K1274">
        <v>1058</v>
      </c>
      <c r="L1274">
        <v>0</v>
      </c>
      <c r="M1274">
        <v>1058</v>
      </c>
      <c r="N1274" t="s">
        <v>1132</v>
      </c>
      <c r="O1274" t="s">
        <v>1098</v>
      </c>
    </row>
    <row r="1275" spans="1:15" x14ac:dyDescent="0.3">
      <c r="A1275" t="str">
        <f t="shared" si="19"/>
        <v>ETFS000230-R000-BK</v>
      </c>
      <c r="B1275" t="s">
        <v>14</v>
      </c>
      <c r="C1275" t="s">
        <v>1133</v>
      </c>
      <c r="D1275" t="s">
        <v>31</v>
      </c>
      <c r="E1275" t="s">
        <v>1134</v>
      </c>
      <c r="F1275" t="s">
        <v>18</v>
      </c>
      <c r="G1275" t="s">
        <v>49</v>
      </c>
      <c r="H1275">
        <v>0</v>
      </c>
      <c r="I1275">
        <v>17000</v>
      </c>
      <c r="J1275">
        <v>22</v>
      </c>
      <c r="K1275">
        <v>374000</v>
      </c>
      <c r="L1275">
        <v>0</v>
      </c>
      <c r="M1275">
        <v>374000</v>
      </c>
      <c r="N1275" t="s">
        <v>1135</v>
      </c>
      <c r="O1275" t="s">
        <v>1098</v>
      </c>
    </row>
    <row r="1276" spans="1:15" x14ac:dyDescent="0.3">
      <c r="A1276" t="str">
        <f t="shared" si="19"/>
        <v>ETFS000231-R000-NI</v>
      </c>
      <c r="B1276" t="s">
        <v>14</v>
      </c>
      <c r="C1276" t="s">
        <v>1136</v>
      </c>
      <c r="D1276" t="s">
        <v>67</v>
      </c>
      <c r="E1276" t="s">
        <v>1954</v>
      </c>
      <c r="F1276" t="s">
        <v>18</v>
      </c>
      <c r="G1276" t="s">
        <v>35</v>
      </c>
      <c r="H1276">
        <v>0</v>
      </c>
      <c r="I1276">
        <v>2000</v>
      </c>
      <c r="J1276">
        <v>24</v>
      </c>
      <c r="K1276">
        <v>48000</v>
      </c>
      <c r="L1276">
        <v>0</v>
      </c>
      <c r="M1276">
        <v>48000</v>
      </c>
      <c r="O1276" t="s">
        <v>1098</v>
      </c>
    </row>
    <row r="1277" spans="1:15" x14ac:dyDescent="0.3">
      <c r="A1277" t="str">
        <f t="shared" si="19"/>
        <v>ETFS000231-R000-NI</v>
      </c>
      <c r="B1277" t="s">
        <v>14</v>
      </c>
      <c r="C1277" t="s">
        <v>1136</v>
      </c>
      <c r="D1277" t="s">
        <v>67</v>
      </c>
      <c r="E1277" t="s">
        <v>1954</v>
      </c>
      <c r="F1277" t="s">
        <v>18</v>
      </c>
      <c r="G1277" t="s">
        <v>29</v>
      </c>
      <c r="H1277">
        <v>0</v>
      </c>
      <c r="I1277">
        <v>8</v>
      </c>
      <c r="J1277">
        <v>25</v>
      </c>
      <c r="K1277">
        <v>200</v>
      </c>
      <c r="L1277">
        <v>0</v>
      </c>
      <c r="M1277">
        <v>200</v>
      </c>
      <c r="O1277" t="s">
        <v>1098</v>
      </c>
    </row>
    <row r="1278" spans="1:15" x14ac:dyDescent="0.3">
      <c r="A1278" t="str">
        <f t="shared" si="19"/>
        <v>ETFS000238-R000-NI</v>
      </c>
      <c r="B1278" t="s">
        <v>14</v>
      </c>
      <c r="C1278" t="s">
        <v>1137</v>
      </c>
      <c r="D1278" t="s">
        <v>67</v>
      </c>
      <c r="E1278" t="s">
        <v>1138</v>
      </c>
      <c r="F1278" t="s">
        <v>18</v>
      </c>
      <c r="G1278" t="s">
        <v>29</v>
      </c>
      <c r="H1278">
        <v>0</v>
      </c>
      <c r="I1278">
        <v>152</v>
      </c>
      <c r="J1278">
        <v>7</v>
      </c>
      <c r="K1278">
        <v>1064</v>
      </c>
      <c r="L1278">
        <v>0</v>
      </c>
      <c r="M1278">
        <v>1064</v>
      </c>
      <c r="N1278" t="s">
        <v>1139</v>
      </c>
      <c r="O1278" t="s">
        <v>1098</v>
      </c>
    </row>
    <row r="1279" spans="1:15" x14ac:dyDescent="0.3">
      <c r="A1279" t="str">
        <f t="shared" si="19"/>
        <v>ETFS000239-R000-NI</v>
      </c>
      <c r="B1279" t="s">
        <v>14</v>
      </c>
      <c r="C1279" t="s">
        <v>1140</v>
      </c>
      <c r="D1279" t="s">
        <v>67</v>
      </c>
      <c r="E1279" t="s">
        <v>1141</v>
      </c>
      <c r="F1279" t="s">
        <v>18</v>
      </c>
      <c r="G1279" t="s">
        <v>29</v>
      </c>
      <c r="H1279">
        <v>0</v>
      </c>
      <c r="I1279">
        <v>24</v>
      </c>
      <c r="J1279">
        <v>7</v>
      </c>
      <c r="K1279">
        <v>168</v>
      </c>
      <c r="L1279">
        <v>0</v>
      </c>
      <c r="M1279">
        <v>168</v>
      </c>
      <c r="N1279" t="s">
        <v>1142</v>
      </c>
      <c r="O1279" t="s">
        <v>1098</v>
      </c>
    </row>
    <row r="1280" spans="1:15" x14ac:dyDescent="0.3">
      <c r="A1280" t="str">
        <f t="shared" si="19"/>
        <v>ETFS000260-R000-BK</v>
      </c>
      <c r="B1280" t="s">
        <v>14</v>
      </c>
      <c r="C1280" t="s">
        <v>1143</v>
      </c>
      <c r="D1280" t="s">
        <v>31</v>
      </c>
      <c r="E1280" t="s">
        <v>1144</v>
      </c>
      <c r="F1280" t="s">
        <v>18</v>
      </c>
      <c r="G1280" t="s">
        <v>29</v>
      </c>
      <c r="H1280">
        <v>0</v>
      </c>
      <c r="I1280">
        <v>2</v>
      </c>
      <c r="J1280">
        <v>7</v>
      </c>
      <c r="K1280">
        <v>14</v>
      </c>
      <c r="L1280">
        <v>0</v>
      </c>
      <c r="M1280">
        <v>14</v>
      </c>
      <c r="N1280" t="s">
        <v>1145</v>
      </c>
      <c r="O1280" t="s">
        <v>1098</v>
      </c>
    </row>
    <row r="1281" spans="1:15" x14ac:dyDescent="0.3">
      <c r="A1281" t="str">
        <f t="shared" si="19"/>
        <v>ETFS000260-R000-NI</v>
      </c>
      <c r="B1281" t="s">
        <v>14</v>
      </c>
      <c r="C1281" t="s">
        <v>1143</v>
      </c>
      <c r="D1281" t="s">
        <v>67</v>
      </c>
      <c r="E1281" t="s">
        <v>1955</v>
      </c>
      <c r="F1281" t="s">
        <v>18</v>
      </c>
      <c r="G1281" t="s">
        <v>35</v>
      </c>
      <c r="H1281">
        <v>0</v>
      </c>
      <c r="I1281">
        <v>40</v>
      </c>
      <c r="J1281">
        <v>7</v>
      </c>
      <c r="K1281">
        <v>280</v>
      </c>
      <c r="L1281">
        <v>0</v>
      </c>
      <c r="M1281">
        <v>280</v>
      </c>
      <c r="N1281" t="s">
        <v>1956</v>
      </c>
      <c r="O1281" t="s">
        <v>1098</v>
      </c>
    </row>
    <row r="1282" spans="1:15" x14ac:dyDescent="0.3">
      <c r="A1282" t="str">
        <f t="shared" si="19"/>
        <v>ETFS000321-R000-NI</v>
      </c>
      <c r="B1282" t="s">
        <v>14</v>
      </c>
      <c r="C1282" t="s">
        <v>1957</v>
      </c>
      <c r="D1282" t="s">
        <v>67</v>
      </c>
      <c r="E1282" t="s">
        <v>1958</v>
      </c>
      <c r="F1282" t="s">
        <v>18</v>
      </c>
      <c r="G1282" t="s">
        <v>29</v>
      </c>
      <c r="H1282">
        <v>0</v>
      </c>
      <c r="I1282">
        <v>1000</v>
      </c>
      <c r="J1282">
        <v>9</v>
      </c>
      <c r="K1282">
        <v>9000</v>
      </c>
      <c r="L1282">
        <v>0</v>
      </c>
      <c r="M1282">
        <v>9000</v>
      </c>
      <c r="N1282" t="s">
        <v>1959</v>
      </c>
      <c r="O1282" t="s">
        <v>1098</v>
      </c>
    </row>
    <row r="1283" spans="1:15" x14ac:dyDescent="0.3">
      <c r="A1283" t="str">
        <f t="shared" ref="A1283:A1346" si="20">C1283&amp;"-"&amp;D1283</f>
        <v>ETFS000341-R000-NI</v>
      </c>
      <c r="B1283" t="s">
        <v>14</v>
      </c>
      <c r="C1283" t="s">
        <v>1146</v>
      </c>
      <c r="D1283" t="s">
        <v>67</v>
      </c>
      <c r="E1283" t="s">
        <v>1147</v>
      </c>
      <c r="F1283" t="s">
        <v>18</v>
      </c>
      <c r="G1283" t="s">
        <v>29</v>
      </c>
      <c r="H1283">
        <v>0</v>
      </c>
      <c r="I1283">
        <v>40</v>
      </c>
      <c r="J1283">
        <v>22</v>
      </c>
      <c r="K1283">
        <v>880</v>
      </c>
      <c r="L1283">
        <v>0</v>
      </c>
      <c r="M1283">
        <v>880</v>
      </c>
      <c r="N1283" t="s">
        <v>1148</v>
      </c>
      <c r="O1283" t="s">
        <v>1098</v>
      </c>
    </row>
    <row r="1284" spans="1:15" x14ac:dyDescent="0.3">
      <c r="A1284" t="str">
        <f t="shared" si="20"/>
        <v>ETFS000528-R000-NI</v>
      </c>
      <c r="B1284" t="s">
        <v>14</v>
      </c>
      <c r="C1284" t="s">
        <v>1149</v>
      </c>
      <c r="D1284" t="s">
        <v>67</v>
      </c>
      <c r="E1284" t="s">
        <v>1150</v>
      </c>
      <c r="F1284" t="s">
        <v>18</v>
      </c>
      <c r="G1284" t="s">
        <v>29</v>
      </c>
      <c r="H1284">
        <v>0</v>
      </c>
      <c r="I1284">
        <v>4</v>
      </c>
      <c r="J1284">
        <v>15</v>
      </c>
      <c r="K1284">
        <v>60</v>
      </c>
      <c r="L1284">
        <v>0</v>
      </c>
      <c r="M1284">
        <v>60</v>
      </c>
      <c r="N1284" t="s">
        <v>1151</v>
      </c>
      <c r="O1284" t="s">
        <v>1098</v>
      </c>
    </row>
    <row r="1285" spans="1:15" x14ac:dyDescent="0.3">
      <c r="A1285" t="str">
        <f t="shared" si="20"/>
        <v>ETFS000538-R000-BK</v>
      </c>
      <c r="B1285" t="s">
        <v>14</v>
      </c>
      <c r="C1285" t="s">
        <v>1152</v>
      </c>
      <c r="D1285" t="s">
        <v>31</v>
      </c>
      <c r="E1285" t="s">
        <v>1153</v>
      </c>
      <c r="F1285" t="s">
        <v>18</v>
      </c>
      <c r="G1285" t="s">
        <v>22</v>
      </c>
      <c r="H1285">
        <v>0</v>
      </c>
      <c r="I1285">
        <v>15</v>
      </c>
      <c r="J1285">
        <v>27</v>
      </c>
      <c r="K1285">
        <v>405</v>
      </c>
      <c r="L1285">
        <v>0</v>
      </c>
      <c r="M1285">
        <v>405</v>
      </c>
      <c r="N1285" t="s">
        <v>1154</v>
      </c>
      <c r="O1285" t="s">
        <v>1098</v>
      </c>
    </row>
    <row r="1286" spans="1:15" x14ac:dyDescent="0.3">
      <c r="A1286" t="str">
        <f t="shared" si="20"/>
        <v>ETFS000538-R000-NI</v>
      </c>
      <c r="B1286" t="s">
        <v>14</v>
      </c>
      <c r="C1286" t="s">
        <v>1152</v>
      </c>
      <c r="D1286" t="s">
        <v>67</v>
      </c>
      <c r="E1286" t="s">
        <v>1153</v>
      </c>
      <c r="F1286" t="s">
        <v>18</v>
      </c>
      <c r="G1286" t="s">
        <v>22</v>
      </c>
      <c r="H1286">
        <v>0</v>
      </c>
      <c r="I1286">
        <v>2400</v>
      </c>
      <c r="J1286">
        <v>27</v>
      </c>
      <c r="K1286">
        <v>64800</v>
      </c>
      <c r="L1286">
        <v>0</v>
      </c>
      <c r="M1286">
        <v>64800</v>
      </c>
      <c r="N1286" t="s">
        <v>1154</v>
      </c>
      <c r="O1286" t="s">
        <v>1098</v>
      </c>
    </row>
    <row r="1287" spans="1:15" x14ac:dyDescent="0.3">
      <c r="A1287" t="str">
        <f t="shared" si="20"/>
        <v>ETFS000540-R000-NI</v>
      </c>
      <c r="B1287" t="s">
        <v>14</v>
      </c>
      <c r="C1287" t="s">
        <v>1155</v>
      </c>
      <c r="D1287" t="s">
        <v>67</v>
      </c>
      <c r="E1287" t="s">
        <v>1156</v>
      </c>
      <c r="F1287" t="s">
        <v>18</v>
      </c>
      <c r="G1287" t="s">
        <v>22</v>
      </c>
      <c r="H1287">
        <v>0</v>
      </c>
      <c r="I1287">
        <v>2400</v>
      </c>
      <c r="J1287">
        <v>30</v>
      </c>
      <c r="K1287">
        <v>72000</v>
      </c>
      <c r="L1287">
        <v>0</v>
      </c>
      <c r="M1287">
        <v>72000</v>
      </c>
      <c r="N1287" t="s">
        <v>1157</v>
      </c>
      <c r="O1287" t="s">
        <v>1098</v>
      </c>
    </row>
    <row r="1288" spans="1:15" x14ac:dyDescent="0.3">
      <c r="A1288" t="str">
        <f t="shared" si="20"/>
        <v>ETFS000542-R000-BK</v>
      </c>
      <c r="B1288" t="s">
        <v>14</v>
      </c>
      <c r="C1288" t="s">
        <v>1960</v>
      </c>
      <c r="D1288" t="s">
        <v>31</v>
      </c>
      <c r="E1288" t="s">
        <v>1961</v>
      </c>
      <c r="F1288" t="s">
        <v>18</v>
      </c>
      <c r="G1288" t="s">
        <v>29</v>
      </c>
      <c r="H1288">
        <v>0</v>
      </c>
      <c r="I1288">
        <v>26</v>
      </c>
      <c r="J1288">
        <v>37</v>
      </c>
      <c r="K1288">
        <v>962</v>
      </c>
      <c r="L1288">
        <v>0</v>
      </c>
      <c r="M1288">
        <v>962</v>
      </c>
      <c r="N1288" t="s">
        <v>1962</v>
      </c>
      <c r="O1288" t="s">
        <v>1098</v>
      </c>
    </row>
    <row r="1289" spans="1:15" x14ac:dyDescent="0.3">
      <c r="A1289" t="str">
        <f t="shared" si="20"/>
        <v>ETFS000542-R000-NI</v>
      </c>
      <c r="B1289" t="s">
        <v>14</v>
      </c>
      <c r="C1289" t="s">
        <v>1960</v>
      </c>
      <c r="D1289" t="s">
        <v>67</v>
      </c>
      <c r="E1289" t="s">
        <v>1963</v>
      </c>
      <c r="F1289" t="s">
        <v>18</v>
      </c>
      <c r="G1289" t="s">
        <v>22</v>
      </c>
      <c r="H1289">
        <v>0</v>
      </c>
      <c r="I1289">
        <v>1200</v>
      </c>
      <c r="J1289">
        <v>37</v>
      </c>
      <c r="K1289">
        <v>44400</v>
      </c>
      <c r="L1289">
        <v>0</v>
      </c>
      <c r="M1289">
        <v>44400</v>
      </c>
      <c r="N1289" t="s">
        <v>1964</v>
      </c>
      <c r="O1289" t="s">
        <v>1098</v>
      </c>
    </row>
    <row r="1290" spans="1:15" x14ac:dyDescent="0.3">
      <c r="A1290" t="str">
        <f t="shared" si="20"/>
        <v>ETFS000542-R000-NI</v>
      </c>
      <c r="B1290" t="s">
        <v>14</v>
      </c>
      <c r="C1290" t="s">
        <v>1960</v>
      </c>
      <c r="D1290" t="s">
        <v>67</v>
      </c>
      <c r="E1290" t="s">
        <v>1963</v>
      </c>
      <c r="F1290" t="s">
        <v>18</v>
      </c>
      <c r="G1290" t="s">
        <v>29</v>
      </c>
      <c r="H1290">
        <v>0</v>
      </c>
      <c r="I1290">
        <v>28</v>
      </c>
      <c r="J1290">
        <v>37</v>
      </c>
      <c r="K1290">
        <v>1036</v>
      </c>
      <c r="L1290">
        <v>0</v>
      </c>
      <c r="M1290">
        <v>1036</v>
      </c>
      <c r="N1290" t="s">
        <v>1964</v>
      </c>
      <c r="O1290" t="s">
        <v>1098</v>
      </c>
    </row>
    <row r="1291" spans="1:15" x14ac:dyDescent="0.3">
      <c r="A1291" t="str">
        <f t="shared" si="20"/>
        <v>ETFS000570-R000-BK</v>
      </c>
      <c r="B1291" t="s">
        <v>14</v>
      </c>
      <c r="C1291" t="s">
        <v>1158</v>
      </c>
      <c r="D1291" t="s">
        <v>31</v>
      </c>
      <c r="E1291" t="s">
        <v>1159</v>
      </c>
      <c r="F1291" t="s">
        <v>18</v>
      </c>
      <c r="G1291" t="s">
        <v>29</v>
      </c>
      <c r="H1291">
        <v>0</v>
      </c>
      <c r="I1291">
        <v>4</v>
      </c>
      <c r="J1291">
        <v>7</v>
      </c>
      <c r="K1291">
        <v>28</v>
      </c>
      <c r="L1291">
        <v>0</v>
      </c>
      <c r="M1291">
        <v>28</v>
      </c>
      <c r="N1291" t="s">
        <v>1160</v>
      </c>
      <c r="O1291" t="s">
        <v>1098</v>
      </c>
    </row>
    <row r="1292" spans="1:15" x14ac:dyDescent="0.3">
      <c r="A1292" t="str">
        <f t="shared" si="20"/>
        <v>ETFS000572-R000-BK</v>
      </c>
      <c r="B1292" t="s">
        <v>14</v>
      </c>
      <c r="C1292" t="s">
        <v>1965</v>
      </c>
      <c r="D1292" t="s">
        <v>31</v>
      </c>
      <c r="E1292" t="s">
        <v>1966</v>
      </c>
      <c r="F1292" t="s">
        <v>18</v>
      </c>
      <c r="G1292" t="s">
        <v>23</v>
      </c>
      <c r="H1292">
        <v>0</v>
      </c>
      <c r="I1292">
        <v>2000</v>
      </c>
      <c r="J1292">
        <v>19</v>
      </c>
      <c r="K1292">
        <v>38000</v>
      </c>
      <c r="L1292">
        <v>0</v>
      </c>
      <c r="M1292">
        <v>38000</v>
      </c>
      <c r="N1292" t="s">
        <v>1967</v>
      </c>
      <c r="O1292" t="s">
        <v>1098</v>
      </c>
    </row>
    <row r="1293" spans="1:15" x14ac:dyDescent="0.3">
      <c r="A1293" t="str">
        <f t="shared" si="20"/>
        <v>ETFS000572-R000-BK</v>
      </c>
      <c r="B1293" t="s">
        <v>14</v>
      </c>
      <c r="C1293" t="s">
        <v>1965</v>
      </c>
      <c r="D1293" t="s">
        <v>31</v>
      </c>
      <c r="E1293" t="s">
        <v>1966</v>
      </c>
      <c r="F1293" t="s">
        <v>18</v>
      </c>
      <c r="G1293" t="s">
        <v>29</v>
      </c>
      <c r="H1293">
        <v>0</v>
      </c>
      <c r="I1293">
        <v>1244</v>
      </c>
      <c r="J1293">
        <v>19</v>
      </c>
      <c r="K1293">
        <v>23636</v>
      </c>
      <c r="L1293">
        <v>0</v>
      </c>
      <c r="M1293">
        <v>23636</v>
      </c>
      <c r="N1293" t="s">
        <v>1967</v>
      </c>
      <c r="O1293" t="s">
        <v>1098</v>
      </c>
    </row>
    <row r="1294" spans="1:15" x14ac:dyDescent="0.3">
      <c r="A1294" t="str">
        <f t="shared" si="20"/>
        <v>ETFS000575-R000-BK</v>
      </c>
      <c r="B1294" t="s">
        <v>14</v>
      </c>
      <c r="C1294" t="s">
        <v>1161</v>
      </c>
      <c r="D1294" t="s">
        <v>31</v>
      </c>
      <c r="E1294" t="s">
        <v>1162</v>
      </c>
      <c r="F1294" t="s">
        <v>18</v>
      </c>
      <c r="G1294" t="s">
        <v>29</v>
      </c>
      <c r="H1294">
        <v>0</v>
      </c>
      <c r="I1294">
        <v>5</v>
      </c>
      <c r="J1294">
        <v>5</v>
      </c>
      <c r="K1294">
        <v>25</v>
      </c>
      <c r="L1294">
        <v>0</v>
      </c>
      <c r="M1294">
        <v>25</v>
      </c>
      <c r="N1294" t="s">
        <v>1163</v>
      </c>
      <c r="O1294" t="s">
        <v>1098</v>
      </c>
    </row>
    <row r="1295" spans="1:15" x14ac:dyDescent="0.3">
      <c r="A1295" t="str">
        <f t="shared" si="20"/>
        <v>ETFS000576-R000-NI</v>
      </c>
      <c r="B1295" t="s">
        <v>14</v>
      </c>
      <c r="C1295" t="s">
        <v>1968</v>
      </c>
      <c r="D1295" t="s">
        <v>67</v>
      </c>
      <c r="E1295" t="s">
        <v>1969</v>
      </c>
      <c r="F1295" t="s">
        <v>18</v>
      </c>
      <c r="G1295" t="s">
        <v>29</v>
      </c>
      <c r="H1295">
        <v>0</v>
      </c>
      <c r="I1295">
        <v>5</v>
      </c>
      <c r="J1295">
        <v>21</v>
      </c>
      <c r="K1295">
        <v>105</v>
      </c>
      <c r="L1295">
        <v>0</v>
      </c>
      <c r="M1295">
        <v>105</v>
      </c>
      <c r="N1295" t="s">
        <v>1970</v>
      </c>
      <c r="O1295" t="s">
        <v>1098</v>
      </c>
    </row>
    <row r="1296" spans="1:15" x14ac:dyDescent="0.3">
      <c r="A1296" t="str">
        <f t="shared" si="20"/>
        <v>ETFS000576-R000-NI</v>
      </c>
      <c r="B1296" t="s">
        <v>14</v>
      </c>
      <c r="C1296" t="s">
        <v>1968</v>
      </c>
      <c r="D1296" t="s">
        <v>67</v>
      </c>
      <c r="E1296" t="s">
        <v>1969</v>
      </c>
      <c r="F1296" t="s">
        <v>18</v>
      </c>
      <c r="G1296" t="s">
        <v>22</v>
      </c>
      <c r="H1296">
        <v>0</v>
      </c>
      <c r="I1296">
        <v>1000</v>
      </c>
      <c r="J1296">
        <v>21</v>
      </c>
      <c r="K1296">
        <v>21000</v>
      </c>
      <c r="L1296">
        <v>0</v>
      </c>
      <c r="M1296">
        <v>21000</v>
      </c>
      <c r="N1296" t="s">
        <v>1970</v>
      </c>
      <c r="O1296" t="s">
        <v>1098</v>
      </c>
    </row>
    <row r="1297" spans="1:15" x14ac:dyDescent="0.3">
      <c r="A1297" t="str">
        <f t="shared" si="20"/>
        <v>ETFS000579-R000-NI</v>
      </c>
      <c r="B1297" t="s">
        <v>14</v>
      </c>
      <c r="C1297" t="s">
        <v>1971</v>
      </c>
      <c r="D1297" t="s">
        <v>67</v>
      </c>
      <c r="E1297" t="s">
        <v>1972</v>
      </c>
      <c r="F1297" t="s">
        <v>18</v>
      </c>
      <c r="G1297" t="s">
        <v>22</v>
      </c>
      <c r="H1297">
        <v>0</v>
      </c>
      <c r="I1297">
        <v>1000</v>
      </c>
      <c r="J1297">
        <v>22</v>
      </c>
      <c r="K1297">
        <v>22000</v>
      </c>
      <c r="L1297">
        <v>0</v>
      </c>
      <c r="M1297">
        <v>22000</v>
      </c>
      <c r="N1297" t="s">
        <v>1973</v>
      </c>
      <c r="O1297" t="s">
        <v>1098</v>
      </c>
    </row>
    <row r="1298" spans="1:15" x14ac:dyDescent="0.3">
      <c r="A1298" t="str">
        <f t="shared" si="20"/>
        <v>ETFS000880-R000-NI</v>
      </c>
      <c r="B1298" t="s">
        <v>14</v>
      </c>
      <c r="C1298" t="s">
        <v>1974</v>
      </c>
      <c r="D1298" t="s">
        <v>67</v>
      </c>
      <c r="E1298" t="s">
        <v>1975</v>
      </c>
      <c r="F1298" t="s">
        <v>18</v>
      </c>
      <c r="G1298" t="s">
        <v>29</v>
      </c>
      <c r="H1298">
        <v>0</v>
      </c>
      <c r="I1298">
        <v>4</v>
      </c>
      <c r="J1298">
        <v>72</v>
      </c>
      <c r="K1298">
        <v>288</v>
      </c>
      <c r="L1298">
        <v>0</v>
      </c>
      <c r="M1298">
        <v>288</v>
      </c>
      <c r="N1298" t="s">
        <v>1976</v>
      </c>
      <c r="O1298" t="s">
        <v>1098</v>
      </c>
    </row>
    <row r="1299" spans="1:15" x14ac:dyDescent="0.3">
      <c r="A1299" t="str">
        <f t="shared" si="20"/>
        <v>ETFS000946-R000-ZN</v>
      </c>
      <c r="B1299" t="s">
        <v>14</v>
      </c>
      <c r="C1299" t="s">
        <v>1977</v>
      </c>
      <c r="D1299" t="s">
        <v>490</v>
      </c>
      <c r="E1299" t="s">
        <v>1978</v>
      </c>
      <c r="F1299" t="s">
        <v>18</v>
      </c>
      <c r="G1299" t="s">
        <v>35</v>
      </c>
      <c r="H1299">
        <v>0</v>
      </c>
      <c r="I1299">
        <v>1000</v>
      </c>
      <c r="J1299">
        <v>31</v>
      </c>
      <c r="K1299">
        <v>31000</v>
      </c>
      <c r="L1299">
        <v>0</v>
      </c>
      <c r="M1299">
        <v>31000</v>
      </c>
      <c r="N1299" t="s">
        <v>1177</v>
      </c>
      <c r="O1299" t="s">
        <v>1098</v>
      </c>
    </row>
    <row r="1300" spans="1:15" x14ac:dyDescent="0.3">
      <c r="A1300" t="str">
        <f t="shared" si="20"/>
        <v>ETFS001014-R000-NI</v>
      </c>
      <c r="B1300" t="s">
        <v>14</v>
      </c>
      <c r="C1300" t="s">
        <v>1979</v>
      </c>
      <c r="D1300" t="s">
        <v>67</v>
      </c>
      <c r="E1300" t="s">
        <v>1980</v>
      </c>
      <c r="F1300" t="s">
        <v>18</v>
      </c>
      <c r="G1300" t="s">
        <v>29</v>
      </c>
      <c r="H1300">
        <v>0</v>
      </c>
      <c r="I1300">
        <v>200</v>
      </c>
      <c r="J1300">
        <v>50</v>
      </c>
      <c r="K1300">
        <v>10000</v>
      </c>
      <c r="L1300">
        <v>0</v>
      </c>
      <c r="M1300">
        <v>10000</v>
      </c>
      <c r="N1300" t="s">
        <v>1981</v>
      </c>
      <c r="O1300" t="s">
        <v>1098</v>
      </c>
    </row>
    <row r="1301" spans="1:15" x14ac:dyDescent="0.3">
      <c r="A1301" t="str">
        <f t="shared" si="20"/>
        <v>ETFS001018-R000-NI</v>
      </c>
      <c r="B1301" t="s">
        <v>14</v>
      </c>
      <c r="C1301" t="s">
        <v>1164</v>
      </c>
      <c r="D1301" t="s">
        <v>67</v>
      </c>
      <c r="E1301" t="s">
        <v>1165</v>
      </c>
      <c r="F1301" t="s">
        <v>18</v>
      </c>
      <c r="G1301" t="s">
        <v>22</v>
      </c>
      <c r="H1301">
        <v>0</v>
      </c>
      <c r="I1301">
        <v>1000</v>
      </c>
      <c r="J1301">
        <v>60</v>
      </c>
      <c r="K1301">
        <v>60000</v>
      </c>
      <c r="L1301">
        <v>0</v>
      </c>
      <c r="M1301">
        <v>60000</v>
      </c>
      <c r="N1301" t="s">
        <v>1166</v>
      </c>
      <c r="O1301" t="s">
        <v>1098</v>
      </c>
    </row>
    <row r="1302" spans="1:15" x14ac:dyDescent="0.3">
      <c r="A1302" t="str">
        <f t="shared" si="20"/>
        <v>ETFS001023-R000-BK</v>
      </c>
      <c r="B1302" t="s">
        <v>14</v>
      </c>
      <c r="C1302" t="s">
        <v>1167</v>
      </c>
      <c r="D1302" t="s">
        <v>31</v>
      </c>
      <c r="E1302" t="s">
        <v>1168</v>
      </c>
      <c r="F1302" t="s">
        <v>18</v>
      </c>
      <c r="G1302" t="s">
        <v>29</v>
      </c>
      <c r="H1302">
        <v>0</v>
      </c>
      <c r="I1302">
        <v>49</v>
      </c>
      <c r="J1302">
        <v>110</v>
      </c>
      <c r="K1302">
        <v>5390</v>
      </c>
      <c r="L1302">
        <v>0</v>
      </c>
      <c r="M1302">
        <v>5390</v>
      </c>
      <c r="N1302" t="s">
        <v>1169</v>
      </c>
      <c r="O1302" t="s">
        <v>1098</v>
      </c>
    </row>
    <row r="1303" spans="1:15" x14ac:dyDescent="0.3">
      <c r="A1303" t="str">
        <f t="shared" si="20"/>
        <v>ETFS001040-R000-NT</v>
      </c>
      <c r="B1303" t="s">
        <v>14</v>
      </c>
      <c r="C1303" t="s">
        <v>1170</v>
      </c>
      <c r="D1303" t="s">
        <v>52</v>
      </c>
      <c r="E1303" t="s">
        <v>1171</v>
      </c>
      <c r="F1303" t="s">
        <v>18</v>
      </c>
      <c r="G1303" t="s">
        <v>23</v>
      </c>
      <c r="H1303">
        <v>0</v>
      </c>
      <c r="I1303">
        <v>3000</v>
      </c>
      <c r="J1303">
        <v>27</v>
      </c>
      <c r="K1303">
        <v>81000</v>
      </c>
      <c r="L1303">
        <v>0</v>
      </c>
      <c r="M1303">
        <v>81000</v>
      </c>
      <c r="N1303" t="s">
        <v>1172</v>
      </c>
      <c r="O1303" t="s">
        <v>1098</v>
      </c>
    </row>
    <row r="1304" spans="1:15" x14ac:dyDescent="0.3">
      <c r="A1304" t="str">
        <f t="shared" si="20"/>
        <v>ETFS001040-R000-NT</v>
      </c>
      <c r="B1304" t="s">
        <v>14</v>
      </c>
      <c r="C1304" t="s">
        <v>1170</v>
      </c>
      <c r="D1304" t="s">
        <v>52</v>
      </c>
      <c r="E1304" t="s">
        <v>1171</v>
      </c>
      <c r="F1304" t="s">
        <v>18</v>
      </c>
      <c r="G1304" t="s">
        <v>35</v>
      </c>
      <c r="H1304">
        <v>0</v>
      </c>
      <c r="I1304">
        <v>2000</v>
      </c>
      <c r="J1304">
        <v>27</v>
      </c>
      <c r="K1304">
        <v>54000</v>
      </c>
      <c r="L1304">
        <v>0</v>
      </c>
      <c r="M1304">
        <v>54000</v>
      </c>
      <c r="N1304" t="s">
        <v>1172</v>
      </c>
      <c r="O1304" t="s">
        <v>1098</v>
      </c>
    </row>
    <row r="1305" spans="1:15" x14ac:dyDescent="0.3">
      <c r="A1305" t="str">
        <f t="shared" si="20"/>
        <v>ETFS001043-R000-WH</v>
      </c>
      <c r="B1305" t="s">
        <v>14</v>
      </c>
      <c r="C1305" t="s">
        <v>1174</v>
      </c>
      <c r="D1305" t="s">
        <v>65</v>
      </c>
      <c r="E1305" t="s">
        <v>1175</v>
      </c>
      <c r="F1305" t="s">
        <v>18</v>
      </c>
      <c r="G1305" t="s">
        <v>29</v>
      </c>
      <c r="H1305">
        <v>0</v>
      </c>
      <c r="I1305">
        <v>8</v>
      </c>
      <c r="J1305">
        <v>30</v>
      </c>
      <c r="K1305">
        <v>240</v>
      </c>
      <c r="L1305">
        <v>0</v>
      </c>
      <c r="M1305">
        <v>240</v>
      </c>
      <c r="N1305" t="s">
        <v>1176</v>
      </c>
      <c r="O1305" t="s">
        <v>1098</v>
      </c>
    </row>
    <row r="1306" spans="1:15" x14ac:dyDescent="0.3">
      <c r="A1306" t="str">
        <f t="shared" si="20"/>
        <v>ETHW000321-R000-WW</v>
      </c>
      <c r="B1306" t="s">
        <v>14</v>
      </c>
      <c r="C1306" t="s">
        <v>1178</v>
      </c>
      <c r="D1306" t="s">
        <v>28</v>
      </c>
      <c r="E1306" t="s">
        <v>1179</v>
      </c>
      <c r="F1306" t="s">
        <v>18</v>
      </c>
      <c r="G1306" t="s">
        <v>83</v>
      </c>
      <c r="H1306">
        <v>0</v>
      </c>
      <c r="I1306">
        <v>200</v>
      </c>
      <c r="J1306">
        <v>300</v>
      </c>
      <c r="K1306">
        <v>60000</v>
      </c>
      <c r="L1306">
        <v>0</v>
      </c>
      <c r="M1306">
        <v>60000</v>
      </c>
      <c r="N1306" t="s">
        <v>1180</v>
      </c>
      <c r="O1306" t="s">
        <v>1098</v>
      </c>
    </row>
    <row r="1307" spans="1:15" x14ac:dyDescent="0.3">
      <c r="A1307" t="str">
        <f t="shared" si="20"/>
        <v>ETHW000321-R000-WW</v>
      </c>
      <c r="B1307" t="s">
        <v>14</v>
      </c>
      <c r="C1307" t="s">
        <v>1178</v>
      </c>
      <c r="D1307" t="s">
        <v>28</v>
      </c>
      <c r="E1307" t="s">
        <v>1179</v>
      </c>
      <c r="F1307" t="s">
        <v>18</v>
      </c>
      <c r="G1307" t="s">
        <v>49</v>
      </c>
      <c r="H1307">
        <v>0</v>
      </c>
      <c r="I1307">
        <v>12000</v>
      </c>
      <c r="J1307">
        <v>300</v>
      </c>
      <c r="K1307">
        <v>3600000</v>
      </c>
      <c r="L1307">
        <v>0</v>
      </c>
      <c r="M1307">
        <v>3600000</v>
      </c>
      <c r="N1307" t="s">
        <v>1180</v>
      </c>
      <c r="O1307" t="s">
        <v>1098</v>
      </c>
    </row>
    <row r="1308" spans="1:15" x14ac:dyDescent="0.3">
      <c r="A1308" t="str">
        <f t="shared" si="20"/>
        <v>ETHW000321-R000-WW</v>
      </c>
      <c r="B1308" t="s">
        <v>14</v>
      </c>
      <c r="C1308" t="s">
        <v>1178</v>
      </c>
      <c r="D1308" t="s">
        <v>28</v>
      </c>
      <c r="E1308" t="s">
        <v>1179</v>
      </c>
      <c r="F1308" t="s">
        <v>18</v>
      </c>
      <c r="G1308" t="s">
        <v>246</v>
      </c>
      <c r="H1308">
        <v>0</v>
      </c>
      <c r="I1308">
        <v>25000</v>
      </c>
      <c r="J1308">
        <v>300</v>
      </c>
      <c r="K1308">
        <v>7500000</v>
      </c>
      <c r="L1308">
        <v>0</v>
      </c>
      <c r="M1308">
        <v>7500000</v>
      </c>
      <c r="N1308" t="s">
        <v>1180</v>
      </c>
      <c r="O1308" t="s">
        <v>1098</v>
      </c>
    </row>
    <row r="1309" spans="1:15" x14ac:dyDescent="0.3">
      <c r="A1309" t="str">
        <f t="shared" si="20"/>
        <v>ETHW000321-R000-WW</v>
      </c>
      <c r="B1309" t="s">
        <v>14</v>
      </c>
      <c r="C1309" t="s">
        <v>1178</v>
      </c>
      <c r="D1309" t="s">
        <v>28</v>
      </c>
      <c r="E1309" t="s">
        <v>1179</v>
      </c>
      <c r="F1309" t="s">
        <v>18</v>
      </c>
      <c r="G1309" t="s">
        <v>22</v>
      </c>
      <c r="H1309">
        <v>0</v>
      </c>
      <c r="I1309">
        <v>1</v>
      </c>
      <c r="J1309">
        <v>300</v>
      </c>
      <c r="K1309">
        <v>300</v>
      </c>
      <c r="L1309">
        <v>0</v>
      </c>
      <c r="M1309">
        <v>300</v>
      </c>
      <c r="N1309" t="s">
        <v>1180</v>
      </c>
      <c r="O1309" t="s">
        <v>1098</v>
      </c>
    </row>
    <row r="1310" spans="1:15" x14ac:dyDescent="0.3">
      <c r="A1310" t="str">
        <f t="shared" si="20"/>
        <v>ETHW000321-R000-WW</v>
      </c>
      <c r="B1310" t="s">
        <v>14</v>
      </c>
      <c r="C1310" t="s">
        <v>1178</v>
      </c>
      <c r="D1310" t="s">
        <v>28</v>
      </c>
      <c r="E1310" t="s">
        <v>1179</v>
      </c>
      <c r="F1310" t="s">
        <v>18</v>
      </c>
      <c r="G1310" t="s">
        <v>35</v>
      </c>
      <c r="H1310">
        <v>0</v>
      </c>
      <c r="I1310">
        <v>8000</v>
      </c>
      <c r="J1310">
        <v>300</v>
      </c>
      <c r="K1310">
        <v>2400000</v>
      </c>
      <c r="L1310">
        <v>0</v>
      </c>
      <c r="M1310">
        <v>2400000</v>
      </c>
      <c r="N1310" t="s">
        <v>1180</v>
      </c>
      <c r="O1310" t="s">
        <v>1098</v>
      </c>
    </row>
    <row r="1311" spans="1:15" x14ac:dyDescent="0.3">
      <c r="A1311" t="str">
        <f t="shared" si="20"/>
        <v>ETHW000556-R000-CR</v>
      </c>
      <c r="B1311" t="s">
        <v>14</v>
      </c>
      <c r="C1311" t="s">
        <v>1181</v>
      </c>
      <c r="D1311" t="s">
        <v>81</v>
      </c>
      <c r="E1311" t="s">
        <v>1182</v>
      </c>
      <c r="F1311" t="s">
        <v>18</v>
      </c>
      <c r="G1311" t="s">
        <v>29</v>
      </c>
      <c r="H1311">
        <v>0</v>
      </c>
      <c r="I1311">
        <v>19</v>
      </c>
      <c r="J1311">
        <v>73</v>
      </c>
      <c r="K1311">
        <v>1387</v>
      </c>
      <c r="L1311">
        <v>0</v>
      </c>
      <c r="M1311">
        <v>1387</v>
      </c>
      <c r="O1311" t="s">
        <v>1098</v>
      </c>
    </row>
    <row r="1312" spans="1:15" x14ac:dyDescent="0.3">
      <c r="A1312" t="str">
        <f t="shared" si="20"/>
        <v>ETHW000562-R000-WW</v>
      </c>
      <c r="B1312" t="s">
        <v>14</v>
      </c>
      <c r="C1312" t="s">
        <v>1183</v>
      </c>
      <c r="D1312" t="s">
        <v>28</v>
      </c>
      <c r="E1312" t="s">
        <v>1184</v>
      </c>
      <c r="F1312" t="s">
        <v>18</v>
      </c>
      <c r="G1312" t="s">
        <v>23</v>
      </c>
      <c r="H1312">
        <v>0</v>
      </c>
      <c r="I1312">
        <v>700</v>
      </c>
      <c r="J1312">
        <v>280</v>
      </c>
      <c r="K1312">
        <v>196000</v>
      </c>
      <c r="L1312">
        <v>0</v>
      </c>
      <c r="M1312">
        <v>196000</v>
      </c>
      <c r="N1312" t="s">
        <v>1185</v>
      </c>
      <c r="O1312" t="s">
        <v>1098</v>
      </c>
    </row>
    <row r="1313" spans="1:15" x14ac:dyDescent="0.3">
      <c r="A1313" t="str">
        <f t="shared" si="20"/>
        <v>ETHW000562-R000-WW</v>
      </c>
      <c r="B1313" t="s">
        <v>14</v>
      </c>
      <c r="C1313" t="s">
        <v>1183</v>
      </c>
      <c r="D1313" t="s">
        <v>28</v>
      </c>
      <c r="E1313" t="s">
        <v>1184</v>
      </c>
      <c r="F1313" t="s">
        <v>18</v>
      </c>
      <c r="G1313" t="s">
        <v>210</v>
      </c>
      <c r="H1313">
        <v>0</v>
      </c>
      <c r="I1313">
        <v>2800</v>
      </c>
      <c r="J1313">
        <v>280</v>
      </c>
      <c r="K1313">
        <v>784000</v>
      </c>
      <c r="L1313">
        <v>0</v>
      </c>
      <c r="M1313">
        <v>784000</v>
      </c>
      <c r="N1313" t="s">
        <v>1185</v>
      </c>
      <c r="O1313" t="s">
        <v>1098</v>
      </c>
    </row>
    <row r="1314" spans="1:15" x14ac:dyDescent="0.3">
      <c r="A1314" t="str">
        <f t="shared" si="20"/>
        <v>ETHW000562-R000-WW</v>
      </c>
      <c r="B1314" t="s">
        <v>14</v>
      </c>
      <c r="C1314" t="s">
        <v>1183</v>
      </c>
      <c r="D1314" t="s">
        <v>28</v>
      </c>
      <c r="E1314" t="s">
        <v>1184</v>
      </c>
      <c r="F1314" t="s">
        <v>18</v>
      </c>
      <c r="G1314" t="s">
        <v>120</v>
      </c>
      <c r="H1314">
        <v>0</v>
      </c>
      <c r="I1314">
        <v>20000</v>
      </c>
      <c r="J1314">
        <v>280</v>
      </c>
      <c r="K1314">
        <v>5600000</v>
      </c>
      <c r="L1314">
        <v>0</v>
      </c>
      <c r="M1314">
        <v>5600000</v>
      </c>
      <c r="N1314" t="s">
        <v>1185</v>
      </c>
      <c r="O1314" t="s">
        <v>1098</v>
      </c>
    </row>
    <row r="1315" spans="1:15" x14ac:dyDescent="0.3">
      <c r="A1315" t="str">
        <f t="shared" si="20"/>
        <v>ETHW000562-R000-WW</v>
      </c>
      <c r="B1315" t="s">
        <v>14</v>
      </c>
      <c r="C1315" t="s">
        <v>1183</v>
      </c>
      <c r="D1315" t="s">
        <v>28</v>
      </c>
      <c r="E1315" t="s">
        <v>1184</v>
      </c>
      <c r="F1315" t="s">
        <v>18</v>
      </c>
      <c r="G1315" t="s">
        <v>63</v>
      </c>
      <c r="H1315">
        <v>0</v>
      </c>
      <c r="I1315">
        <v>400</v>
      </c>
      <c r="J1315">
        <v>280</v>
      </c>
      <c r="K1315">
        <v>112000</v>
      </c>
      <c r="L1315">
        <v>0</v>
      </c>
      <c r="M1315">
        <v>112000</v>
      </c>
      <c r="N1315" t="s">
        <v>1185</v>
      </c>
      <c r="O1315" t="s">
        <v>1098</v>
      </c>
    </row>
    <row r="1316" spans="1:15" x14ac:dyDescent="0.3">
      <c r="A1316" t="str">
        <f t="shared" si="20"/>
        <v>ETHW000562-R000-WW</v>
      </c>
      <c r="B1316" t="s">
        <v>14</v>
      </c>
      <c r="C1316" t="s">
        <v>1183</v>
      </c>
      <c r="D1316" t="s">
        <v>28</v>
      </c>
      <c r="E1316" t="s">
        <v>1184</v>
      </c>
      <c r="F1316" t="s">
        <v>18</v>
      </c>
      <c r="G1316" t="s">
        <v>35</v>
      </c>
      <c r="H1316">
        <v>0</v>
      </c>
      <c r="I1316">
        <v>2000</v>
      </c>
      <c r="J1316">
        <v>280</v>
      </c>
      <c r="K1316">
        <v>560000</v>
      </c>
      <c r="L1316">
        <v>0</v>
      </c>
      <c r="M1316">
        <v>560000</v>
      </c>
      <c r="N1316" t="s">
        <v>1185</v>
      </c>
      <c r="O1316" t="s">
        <v>1098</v>
      </c>
    </row>
    <row r="1317" spans="1:15" x14ac:dyDescent="0.3">
      <c r="A1317" t="str">
        <f t="shared" si="20"/>
        <v>ETHW000562-R000-WW</v>
      </c>
      <c r="B1317" t="s">
        <v>14</v>
      </c>
      <c r="C1317" t="s">
        <v>1183</v>
      </c>
      <c r="D1317" t="s">
        <v>28</v>
      </c>
      <c r="E1317" t="s">
        <v>1184</v>
      </c>
      <c r="F1317" t="s">
        <v>18</v>
      </c>
      <c r="G1317" t="s">
        <v>49</v>
      </c>
      <c r="H1317">
        <v>0</v>
      </c>
      <c r="I1317">
        <v>1000</v>
      </c>
      <c r="J1317">
        <v>280</v>
      </c>
      <c r="K1317">
        <v>280000</v>
      </c>
      <c r="L1317">
        <v>0</v>
      </c>
      <c r="M1317">
        <v>280000</v>
      </c>
      <c r="N1317" t="s">
        <v>1185</v>
      </c>
      <c r="O1317" t="s">
        <v>1098</v>
      </c>
    </row>
    <row r="1318" spans="1:15" x14ac:dyDescent="0.3">
      <c r="A1318" t="str">
        <f t="shared" si="20"/>
        <v>ETHW000562-R000-WW</v>
      </c>
      <c r="B1318" t="s">
        <v>14</v>
      </c>
      <c r="C1318" t="s">
        <v>1183</v>
      </c>
      <c r="D1318" t="s">
        <v>28</v>
      </c>
      <c r="E1318" t="s">
        <v>1184</v>
      </c>
      <c r="F1318" t="s">
        <v>18</v>
      </c>
      <c r="G1318" t="s">
        <v>83</v>
      </c>
      <c r="H1318">
        <v>0</v>
      </c>
      <c r="I1318">
        <v>2200</v>
      </c>
      <c r="J1318">
        <v>280</v>
      </c>
      <c r="K1318">
        <v>616000</v>
      </c>
      <c r="L1318">
        <v>0</v>
      </c>
      <c r="M1318">
        <v>616000</v>
      </c>
      <c r="N1318" t="s">
        <v>1185</v>
      </c>
      <c r="O1318" t="s">
        <v>1098</v>
      </c>
    </row>
    <row r="1319" spans="1:15" x14ac:dyDescent="0.3">
      <c r="A1319" t="str">
        <f t="shared" si="20"/>
        <v>ETHW000562-R000-WW</v>
      </c>
      <c r="B1319" t="s">
        <v>14</v>
      </c>
      <c r="C1319" t="s">
        <v>1183</v>
      </c>
      <c r="D1319" t="s">
        <v>28</v>
      </c>
      <c r="E1319" t="s">
        <v>1184</v>
      </c>
      <c r="F1319" t="s">
        <v>18</v>
      </c>
      <c r="G1319" t="s">
        <v>19</v>
      </c>
      <c r="H1319">
        <v>0</v>
      </c>
      <c r="I1319">
        <v>2000</v>
      </c>
      <c r="J1319">
        <v>280</v>
      </c>
      <c r="K1319">
        <v>560000</v>
      </c>
      <c r="L1319">
        <v>0</v>
      </c>
      <c r="M1319">
        <v>560000</v>
      </c>
      <c r="N1319" t="s">
        <v>1185</v>
      </c>
      <c r="O1319" t="s">
        <v>1098</v>
      </c>
    </row>
    <row r="1320" spans="1:15" x14ac:dyDescent="0.3">
      <c r="A1320" t="str">
        <f t="shared" si="20"/>
        <v>ETHW000564-R000-RD</v>
      </c>
      <c r="B1320" t="s">
        <v>14</v>
      </c>
      <c r="C1320" t="s">
        <v>1186</v>
      </c>
      <c r="D1320" t="s">
        <v>1187</v>
      </c>
      <c r="E1320" t="s">
        <v>1188</v>
      </c>
      <c r="F1320" t="s">
        <v>18</v>
      </c>
      <c r="G1320" t="s">
        <v>19</v>
      </c>
      <c r="H1320">
        <v>0</v>
      </c>
      <c r="I1320">
        <v>2000</v>
      </c>
      <c r="J1320">
        <v>300</v>
      </c>
      <c r="K1320">
        <v>600000</v>
      </c>
      <c r="L1320">
        <v>0</v>
      </c>
      <c r="M1320">
        <v>600000</v>
      </c>
      <c r="N1320" t="s">
        <v>1189</v>
      </c>
      <c r="O1320" t="s">
        <v>1098</v>
      </c>
    </row>
    <row r="1321" spans="1:15" x14ac:dyDescent="0.3">
      <c r="A1321" t="str">
        <f t="shared" si="20"/>
        <v>ETHW000564-R000-RD</v>
      </c>
      <c r="B1321" t="s">
        <v>14</v>
      </c>
      <c r="C1321" t="s">
        <v>1186</v>
      </c>
      <c r="D1321" t="s">
        <v>1187</v>
      </c>
      <c r="E1321" t="s">
        <v>1188</v>
      </c>
      <c r="F1321" t="s">
        <v>18</v>
      </c>
      <c r="G1321" t="s">
        <v>111</v>
      </c>
      <c r="H1321">
        <v>0</v>
      </c>
      <c r="I1321">
        <v>600</v>
      </c>
      <c r="J1321">
        <v>300</v>
      </c>
      <c r="K1321">
        <v>180000</v>
      </c>
      <c r="L1321">
        <v>0</v>
      </c>
      <c r="M1321">
        <v>180000</v>
      </c>
      <c r="N1321" t="s">
        <v>1189</v>
      </c>
      <c r="O1321" t="s">
        <v>1098</v>
      </c>
    </row>
    <row r="1322" spans="1:15" x14ac:dyDescent="0.3">
      <c r="A1322" t="str">
        <f t="shared" si="20"/>
        <v>ETHW000564-R000-RD</v>
      </c>
      <c r="B1322" t="s">
        <v>14</v>
      </c>
      <c r="C1322" t="s">
        <v>1186</v>
      </c>
      <c r="D1322" t="s">
        <v>1187</v>
      </c>
      <c r="E1322" t="s">
        <v>1188</v>
      </c>
      <c r="F1322" t="s">
        <v>18</v>
      </c>
      <c r="G1322" t="s">
        <v>49</v>
      </c>
      <c r="H1322">
        <v>0</v>
      </c>
      <c r="I1322">
        <v>3500</v>
      </c>
      <c r="J1322">
        <v>300</v>
      </c>
      <c r="K1322">
        <v>1050000</v>
      </c>
      <c r="L1322">
        <v>0</v>
      </c>
      <c r="M1322">
        <v>1050000</v>
      </c>
      <c r="N1322" t="s">
        <v>1189</v>
      </c>
      <c r="O1322" t="s">
        <v>1098</v>
      </c>
    </row>
    <row r="1323" spans="1:15" x14ac:dyDescent="0.3">
      <c r="A1323" t="str">
        <f t="shared" si="20"/>
        <v>ETHW000564-R000-RD</v>
      </c>
      <c r="B1323" t="s">
        <v>14</v>
      </c>
      <c r="C1323" t="s">
        <v>1186</v>
      </c>
      <c r="D1323" t="s">
        <v>1187</v>
      </c>
      <c r="E1323" t="s">
        <v>1188</v>
      </c>
      <c r="F1323" t="s">
        <v>18</v>
      </c>
      <c r="G1323" t="s">
        <v>68</v>
      </c>
      <c r="H1323">
        <v>0</v>
      </c>
      <c r="I1323">
        <v>5000</v>
      </c>
      <c r="J1323">
        <v>300</v>
      </c>
      <c r="K1323">
        <v>1500000</v>
      </c>
      <c r="L1323">
        <v>0</v>
      </c>
      <c r="M1323">
        <v>1500000</v>
      </c>
      <c r="N1323" t="s">
        <v>1189</v>
      </c>
      <c r="O1323" t="s">
        <v>1098</v>
      </c>
    </row>
    <row r="1324" spans="1:15" x14ac:dyDescent="0.3">
      <c r="A1324" t="str">
        <f t="shared" si="20"/>
        <v>ETHW000564-R000-RD</v>
      </c>
      <c r="B1324" t="s">
        <v>14</v>
      </c>
      <c r="C1324" t="s">
        <v>1186</v>
      </c>
      <c r="D1324" t="s">
        <v>1187</v>
      </c>
      <c r="E1324" t="s">
        <v>1188</v>
      </c>
      <c r="F1324" t="s">
        <v>18</v>
      </c>
      <c r="G1324" t="s">
        <v>174</v>
      </c>
      <c r="H1324">
        <v>0</v>
      </c>
      <c r="I1324">
        <v>300</v>
      </c>
      <c r="J1324">
        <v>300</v>
      </c>
      <c r="K1324">
        <v>90000</v>
      </c>
      <c r="L1324">
        <v>0</v>
      </c>
      <c r="M1324">
        <v>90000</v>
      </c>
      <c r="N1324" t="s">
        <v>1189</v>
      </c>
      <c r="O1324" t="s">
        <v>1098</v>
      </c>
    </row>
    <row r="1325" spans="1:15" x14ac:dyDescent="0.3">
      <c r="A1325" t="str">
        <f t="shared" si="20"/>
        <v>ETHW000564-R000-RD</v>
      </c>
      <c r="B1325" t="s">
        <v>14</v>
      </c>
      <c r="C1325" t="s">
        <v>1186</v>
      </c>
      <c r="D1325" t="s">
        <v>1187</v>
      </c>
      <c r="E1325" t="s">
        <v>1188</v>
      </c>
      <c r="F1325" t="s">
        <v>18</v>
      </c>
      <c r="G1325" t="s">
        <v>83</v>
      </c>
      <c r="H1325">
        <v>0</v>
      </c>
      <c r="I1325">
        <v>1600</v>
      </c>
      <c r="J1325">
        <v>300</v>
      </c>
      <c r="K1325">
        <v>480000</v>
      </c>
      <c r="L1325">
        <v>0</v>
      </c>
      <c r="M1325">
        <v>480000</v>
      </c>
      <c r="N1325" t="s">
        <v>1189</v>
      </c>
      <c r="O1325" t="s">
        <v>1098</v>
      </c>
    </row>
    <row r="1326" spans="1:15" x14ac:dyDescent="0.3">
      <c r="A1326" t="str">
        <f t="shared" si="20"/>
        <v>ETHW000564-R000-RD</v>
      </c>
      <c r="B1326" t="s">
        <v>14</v>
      </c>
      <c r="C1326" t="s">
        <v>1186</v>
      </c>
      <c r="D1326" t="s">
        <v>1187</v>
      </c>
      <c r="E1326" t="s">
        <v>1188</v>
      </c>
      <c r="F1326" t="s">
        <v>18</v>
      </c>
      <c r="G1326" t="s">
        <v>35</v>
      </c>
      <c r="H1326">
        <v>0</v>
      </c>
      <c r="I1326">
        <v>2000</v>
      </c>
      <c r="J1326">
        <v>300</v>
      </c>
      <c r="K1326">
        <v>600000</v>
      </c>
      <c r="L1326">
        <v>0</v>
      </c>
      <c r="M1326">
        <v>600000</v>
      </c>
      <c r="N1326" t="s">
        <v>1189</v>
      </c>
      <c r="O1326" t="s">
        <v>1098</v>
      </c>
    </row>
    <row r="1327" spans="1:15" x14ac:dyDescent="0.3">
      <c r="A1327" t="str">
        <f t="shared" si="20"/>
        <v>ETHW000564-R000-RD</v>
      </c>
      <c r="B1327" t="s">
        <v>14</v>
      </c>
      <c r="C1327" t="s">
        <v>1186</v>
      </c>
      <c r="D1327" t="s">
        <v>1187</v>
      </c>
      <c r="E1327" t="s">
        <v>1188</v>
      </c>
      <c r="F1327" t="s">
        <v>18</v>
      </c>
      <c r="G1327" t="s">
        <v>63</v>
      </c>
      <c r="H1327">
        <v>0</v>
      </c>
      <c r="I1327">
        <v>500</v>
      </c>
      <c r="J1327">
        <v>300</v>
      </c>
      <c r="K1327">
        <v>150000</v>
      </c>
      <c r="L1327">
        <v>0</v>
      </c>
      <c r="M1327">
        <v>150000</v>
      </c>
      <c r="N1327" t="s">
        <v>1189</v>
      </c>
      <c r="O1327" t="s">
        <v>1098</v>
      </c>
    </row>
    <row r="1328" spans="1:15" x14ac:dyDescent="0.3">
      <c r="A1328" t="str">
        <f t="shared" si="20"/>
        <v>ETHW000564-R000-RD</v>
      </c>
      <c r="B1328" t="s">
        <v>14</v>
      </c>
      <c r="C1328" t="s">
        <v>1186</v>
      </c>
      <c r="D1328" t="s">
        <v>1187</v>
      </c>
      <c r="E1328" t="s">
        <v>1188</v>
      </c>
      <c r="F1328" t="s">
        <v>18</v>
      </c>
      <c r="G1328" t="s">
        <v>210</v>
      </c>
      <c r="H1328">
        <v>0</v>
      </c>
      <c r="I1328">
        <v>2800</v>
      </c>
      <c r="J1328">
        <v>300</v>
      </c>
      <c r="K1328">
        <v>840000</v>
      </c>
      <c r="L1328">
        <v>0</v>
      </c>
      <c r="M1328">
        <v>840000</v>
      </c>
      <c r="N1328" t="s">
        <v>1189</v>
      </c>
      <c r="O1328" t="s">
        <v>1098</v>
      </c>
    </row>
    <row r="1329" spans="1:15" x14ac:dyDescent="0.3">
      <c r="A1329" t="str">
        <f t="shared" si="20"/>
        <v>ETHW000564-R000-RD</v>
      </c>
      <c r="B1329" t="s">
        <v>14</v>
      </c>
      <c r="C1329" t="s">
        <v>1186</v>
      </c>
      <c r="D1329" t="s">
        <v>1187</v>
      </c>
      <c r="E1329" t="s">
        <v>1188</v>
      </c>
      <c r="F1329" t="s">
        <v>18</v>
      </c>
      <c r="G1329" t="s">
        <v>23</v>
      </c>
      <c r="H1329">
        <v>0</v>
      </c>
      <c r="I1329">
        <v>700</v>
      </c>
      <c r="J1329">
        <v>300</v>
      </c>
      <c r="K1329">
        <v>210000</v>
      </c>
      <c r="L1329">
        <v>0</v>
      </c>
      <c r="M1329">
        <v>210000</v>
      </c>
      <c r="N1329" t="s">
        <v>1189</v>
      </c>
      <c r="O1329" t="s">
        <v>1098</v>
      </c>
    </row>
    <row r="1330" spans="1:15" x14ac:dyDescent="0.3">
      <c r="A1330" t="str">
        <f t="shared" si="20"/>
        <v>ETHW000565-R000-RD</v>
      </c>
      <c r="B1330" t="s">
        <v>14</v>
      </c>
      <c r="C1330" t="s">
        <v>1190</v>
      </c>
      <c r="D1330" t="s">
        <v>1187</v>
      </c>
      <c r="E1330" t="s">
        <v>1191</v>
      </c>
      <c r="F1330" t="s">
        <v>18</v>
      </c>
      <c r="G1330" t="s">
        <v>49</v>
      </c>
      <c r="H1330">
        <v>0</v>
      </c>
      <c r="I1330">
        <v>1200</v>
      </c>
      <c r="J1330">
        <v>300</v>
      </c>
      <c r="K1330">
        <v>360000</v>
      </c>
      <c r="L1330">
        <v>0</v>
      </c>
      <c r="M1330">
        <v>360000</v>
      </c>
      <c r="N1330" t="s">
        <v>1189</v>
      </c>
      <c r="O1330" t="s">
        <v>1098</v>
      </c>
    </row>
    <row r="1331" spans="1:15" x14ac:dyDescent="0.3">
      <c r="A1331" t="str">
        <f t="shared" si="20"/>
        <v>ETHW000642-R000-FC</v>
      </c>
      <c r="B1331" t="s">
        <v>14</v>
      </c>
      <c r="C1331" t="s">
        <v>1192</v>
      </c>
      <c r="D1331" t="s">
        <v>1193</v>
      </c>
      <c r="E1331" t="s">
        <v>1194</v>
      </c>
      <c r="F1331" t="s">
        <v>18</v>
      </c>
      <c r="G1331" t="s">
        <v>23</v>
      </c>
      <c r="H1331">
        <v>0</v>
      </c>
      <c r="I1331">
        <v>1800</v>
      </c>
      <c r="J1331">
        <v>430</v>
      </c>
      <c r="K1331">
        <v>774000</v>
      </c>
      <c r="L1331">
        <v>0</v>
      </c>
      <c r="M1331">
        <v>774000</v>
      </c>
      <c r="N1331" t="s">
        <v>1195</v>
      </c>
      <c r="O1331" t="s">
        <v>1098</v>
      </c>
    </row>
    <row r="1332" spans="1:15" x14ac:dyDescent="0.3">
      <c r="A1332" t="str">
        <f t="shared" si="20"/>
        <v>ETHW000642-R000-FC</v>
      </c>
      <c r="B1332" t="s">
        <v>14</v>
      </c>
      <c r="C1332" t="s">
        <v>1192</v>
      </c>
      <c r="D1332" t="s">
        <v>1193</v>
      </c>
      <c r="E1332" t="s">
        <v>1194</v>
      </c>
      <c r="F1332" t="s">
        <v>18</v>
      </c>
      <c r="G1332" t="s">
        <v>35</v>
      </c>
      <c r="H1332">
        <v>0</v>
      </c>
      <c r="I1332">
        <v>2000</v>
      </c>
      <c r="J1332">
        <v>430</v>
      </c>
      <c r="K1332">
        <v>860000</v>
      </c>
      <c r="L1332">
        <v>0</v>
      </c>
      <c r="M1332">
        <v>860000</v>
      </c>
      <c r="N1332" t="s">
        <v>1195</v>
      </c>
      <c r="O1332" t="s">
        <v>1098</v>
      </c>
    </row>
    <row r="1333" spans="1:15" x14ac:dyDescent="0.3">
      <c r="A1333" t="str">
        <f t="shared" si="20"/>
        <v>ETHW000971-R000-CS</v>
      </c>
      <c r="B1333" t="s">
        <v>14</v>
      </c>
      <c r="C1333" t="s">
        <v>1196</v>
      </c>
      <c r="D1333" t="s">
        <v>1197</v>
      </c>
      <c r="E1333" t="s">
        <v>1198</v>
      </c>
      <c r="F1333" t="s">
        <v>18</v>
      </c>
      <c r="G1333" t="s">
        <v>1982</v>
      </c>
      <c r="H1333">
        <v>0</v>
      </c>
      <c r="I1333">
        <v>0</v>
      </c>
      <c r="J1333">
        <v>960</v>
      </c>
      <c r="K1333">
        <v>0</v>
      </c>
      <c r="L1333">
        <v>0</v>
      </c>
      <c r="M1333">
        <v>0</v>
      </c>
      <c r="N1333" t="s">
        <v>1200</v>
      </c>
      <c r="O1333" t="s">
        <v>1098</v>
      </c>
    </row>
    <row r="1334" spans="1:15" x14ac:dyDescent="0.3">
      <c r="A1334" t="str">
        <f t="shared" si="20"/>
        <v>ETHW000971-R000-CS</v>
      </c>
      <c r="B1334" t="s">
        <v>14</v>
      </c>
      <c r="C1334" t="s">
        <v>1196</v>
      </c>
      <c r="D1334" t="s">
        <v>1197</v>
      </c>
      <c r="E1334" t="s">
        <v>1198</v>
      </c>
      <c r="F1334" t="s">
        <v>18</v>
      </c>
      <c r="G1334" t="s">
        <v>111</v>
      </c>
      <c r="H1334">
        <v>0</v>
      </c>
      <c r="I1334">
        <v>600</v>
      </c>
      <c r="J1334">
        <v>960</v>
      </c>
      <c r="K1334">
        <v>576000</v>
      </c>
      <c r="L1334">
        <v>0</v>
      </c>
      <c r="M1334">
        <v>576000</v>
      </c>
      <c r="N1334" t="s">
        <v>1200</v>
      </c>
      <c r="O1334" t="s">
        <v>1098</v>
      </c>
    </row>
    <row r="1335" spans="1:15" x14ac:dyDescent="0.3">
      <c r="A1335" t="str">
        <f t="shared" si="20"/>
        <v>ETHW000972-R000-CS</v>
      </c>
      <c r="B1335" t="s">
        <v>14</v>
      </c>
      <c r="C1335" t="s">
        <v>1201</v>
      </c>
      <c r="D1335" t="s">
        <v>1197</v>
      </c>
      <c r="E1335" t="s">
        <v>1202</v>
      </c>
      <c r="F1335" t="s">
        <v>18</v>
      </c>
      <c r="G1335" t="s">
        <v>1982</v>
      </c>
      <c r="H1335">
        <v>0</v>
      </c>
      <c r="I1335">
        <v>200</v>
      </c>
      <c r="J1335">
        <v>1580</v>
      </c>
      <c r="K1335">
        <v>316000</v>
      </c>
      <c r="L1335">
        <v>0</v>
      </c>
      <c r="M1335">
        <v>316000</v>
      </c>
      <c r="N1335" t="s">
        <v>1204</v>
      </c>
      <c r="O1335" t="s">
        <v>1098</v>
      </c>
    </row>
    <row r="1336" spans="1:15" x14ac:dyDescent="0.3">
      <c r="A1336" t="str">
        <f t="shared" si="20"/>
        <v>ETHW000972-R000-CS</v>
      </c>
      <c r="B1336" t="s">
        <v>14</v>
      </c>
      <c r="C1336" t="s">
        <v>1201</v>
      </c>
      <c r="D1336" t="s">
        <v>1197</v>
      </c>
      <c r="E1336" t="s">
        <v>1202</v>
      </c>
      <c r="F1336" t="s">
        <v>18</v>
      </c>
      <c r="G1336" t="s">
        <v>49</v>
      </c>
      <c r="H1336">
        <v>0</v>
      </c>
      <c r="I1336">
        <v>1350</v>
      </c>
      <c r="J1336">
        <v>1580</v>
      </c>
      <c r="K1336">
        <v>2133000</v>
      </c>
      <c r="L1336">
        <v>0</v>
      </c>
      <c r="M1336">
        <v>2133000</v>
      </c>
      <c r="N1336" t="s">
        <v>1204</v>
      </c>
      <c r="O1336" t="s">
        <v>1098</v>
      </c>
    </row>
    <row r="1337" spans="1:15" x14ac:dyDescent="0.3">
      <c r="A1337" t="str">
        <f t="shared" si="20"/>
        <v>ETHW000972-R000-CS</v>
      </c>
      <c r="B1337" t="s">
        <v>14</v>
      </c>
      <c r="C1337" t="s">
        <v>1201</v>
      </c>
      <c r="D1337" t="s">
        <v>1197</v>
      </c>
      <c r="E1337" t="s">
        <v>1202</v>
      </c>
      <c r="F1337" t="s">
        <v>18</v>
      </c>
      <c r="G1337" t="s">
        <v>35</v>
      </c>
      <c r="H1337">
        <v>0</v>
      </c>
      <c r="I1337">
        <v>4000</v>
      </c>
      <c r="J1337">
        <v>1580</v>
      </c>
      <c r="K1337">
        <v>6320000</v>
      </c>
      <c r="L1337">
        <v>0</v>
      </c>
      <c r="M1337">
        <v>6320000</v>
      </c>
      <c r="N1337" t="s">
        <v>1204</v>
      </c>
      <c r="O1337" t="s">
        <v>1098</v>
      </c>
    </row>
    <row r="1338" spans="1:15" x14ac:dyDescent="0.3">
      <c r="A1338" t="str">
        <f t="shared" si="20"/>
        <v>ETHW000972-R000-CS</v>
      </c>
      <c r="B1338" t="s">
        <v>14</v>
      </c>
      <c r="C1338" t="s">
        <v>1201</v>
      </c>
      <c r="D1338" t="s">
        <v>1197</v>
      </c>
      <c r="E1338" t="s">
        <v>1202</v>
      </c>
      <c r="F1338" t="s">
        <v>18</v>
      </c>
      <c r="G1338" t="s">
        <v>19</v>
      </c>
      <c r="H1338">
        <v>0</v>
      </c>
      <c r="I1338">
        <v>2000</v>
      </c>
      <c r="J1338">
        <v>1580</v>
      </c>
      <c r="K1338">
        <v>3160000</v>
      </c>
      <c r="L1338">
        <v>0</v>
      </c>
      <c r="M1338">
        <v>3160000</v>
      </c>
      <c r="N1338" t="s">
        <v>1204</v>
      </c>
      <c r="O1338" t="s">
        <v>1098</v>
      </c>
    </row>
    <row r="1339" spans="1:15" x14ac:dyDescent="0.3">
      <c r="A1339" t="str">
        <f t="shared" si="20"/>
        <v>ETHW000972-R000-CS</v>
      </c>
      <c r="B1339" t="s">
        <v>14</v>
      </c>
      <c r="C1339" t="s">
        <v>1201</v>
      </c>
      <c r="D1339" t="s">
        <v>1197</v>
      </c>
      <c r="E1339" t="s">
        <v>1202</v>
      </c>
      <c r="F1339" t="s">
        <v>18</v>
      </c>
      <c r="G1339" t="s">
        <v>111</v>
      </c>
      <c r="H1339">
        <v>0</v>
      </c>
      <c r="I1339">
        <v>1300</v>
      </c>
      <c r="J1339">
        <v>1580</v>
      </c>
      <c r="K1339">
        <v>2054000</v>
      </c>
      <c r="L1339">
        <v>0</v>
      </c>
      <c r="M1339">
        <v>2054000</v>
      </c>
      <c r="N1339" t="s">
        <v>1204</v>
      </c>
      <c r="O1339" t="s">
        <v>1098</v>
      </c>
    </row>
    <row r="1340" spans="1:15" x14ac:dyDescent="0.3">
      <c r="A1340" t="str">
        <f t="shared" si="20"/>
        <v>ETHW000972-R000-CS</v>
      </c>
      <c r="B1340" t="s">
        <v>14</v>
      </c>
      <c r="C1340" t="s">
        <v>1201</v>
      </c>
      <c r="D1340" t="s">
        <v>1197</v>
      </c>
      <c r="E1340" t="s">
        <v>1202</v>
      </c>
      <c r="F1340" t="s">
        <v>18</v>
      </c>
      <c r="G1340" t="s">
        <v>63</v>
      </c>
      <c r="H1340">
        <v>0</v>
      </c>
      <c r="I1340">
        <v>120</v>
      </c>
      <c r="J1340">
        <v>1580</v>
      </c>
      <c r="K1340">
        <v>189600</v>
      </c>
      <c r="L1340">
        <v>0</v>
      </c>
      <c r="M1340">
        <v>189600</v>
      </c>
      <c r="N1340" t="s">
        <v>1204</v>
      </c>
      <c r="O1340" t="s">
        <v>1098</v>
      </c>
    </row>
    <row r="1341" spans="1:15" x14ac:dyDescent="0.3">
      <c r="A1341" t="str">
        <f t="shared" si="20"/>
        <v>ETHW000972-R000-CS</v>
      </c>
      <c r="B1341" t="s">
        <v>14</v>
      </c>
      <c r="C1341" t="s">
        <v>1201</v>
      </c>
      <c r="D1341" t="s">
        <v>1197</v>
      </c>
      <c r="E1341" t="s">
        <v>1202</v>
      </c>
      <c r="F1341" t="s">
        <v>18</v>
      </c>
      <c r="G1341" t="s">
        <v>174</v>
      </c>
      <c r="H1341">
        <v>0</v>
      </c>
      <c r="I1341">
        <v>200</v>
      </c>
      <c r="J1341">
        <v>1580</v>
      </c>
      <c r="K1341">
        <v>316000</v>
      </c>
      <c r="L1341">
        <v>0</v>
      </c>
      <c r="M1341">
        <v>316000</v>
      </c>
      <c r="N1341" t="s">
        <v>1204</v>
      </c>
      <c r="O1341" t="s">
        <v>1098</v>
      </c>
    </row>
    <row r="1342" spans="1:15" x14ac:dyDescent="0.3">
      <c r="A1342" t="str">
        <f t="shared" si="20"/>
        <v>ETHW000972-R000-CS</v>
      </c>
      <c r="B1342" t="s">
        <v>14</v>
      </c>
      <c r="C1342" t="s">
        <v>1201</v>
      </c>
      <c r="D1342" t="s">
        <v>1197</v>
      </c>
      <c r="E1342" t="s">
        <v>1202</v>
      </c>
      <c r="F1342" t="s">
        <v>18</v>
      </c>
      <c r="G1342" t="s">
        <v>1199</v>
      </c>
      <c r="H1342">
        <v>0</v>
      </c>
      <c r="I1342">
        <v>2000</v>
      </c>
      <c r="J1342">
        <v>1580</v>
      </c>
      <c r="K1342">
        <v>3160000</v>
      </c>
      <c r="L1342">
        <v>0</v>
      </c>
      <c r="M1342">
        <v>3160000</v>
      </c>
      <c r="N1342" t="s">
        <v>1204</v>
      </c>
      <c r="O1342" t="s">
        <v>1098</v>
      </c>
    </row>
    <row r="1343" spans="1:15" x14ac:dyDescent="0.3">
      <c r="A1343" t="str">
        <f t="shared" si="20"/>
        <v>ETHW000972-R000-CS</v>
      </c>
      <c r="B1343" t="s">
        <v>14</v>
      </c>
      <c r="C1343" t="s">
        <v>1201</v>
      </c>
      <c r="D1343" t="s">
        <v>1197</v>
      </c>
      <c r="E1343" t="s">
        <v>1202</v>
      </c>
      <c r="F1343" t="s">
        <v>18</v>
      </c>
      <c r="G1343" t="s">
        <v>26</v>
      </c>
      <c r="H1343">
        <v>0</v>
      </c>
      <c r="I1343">
        <v>100</v>
      </c>
      <c r="J1343">
        <v>1580</v>
      </c>
      <c r="K1343">
        <v>158000</v>
      </c>
      <c r="L1343">
        <v>0</v>
      </c>
      <c r="M1343">
        <v>158000</v>
      </c>
      <c r="N1343" t="s">
        <v>1204</v>
      </c>
      <c r="O1343" t="s">
        <v>1098</v>
      </c>
    </row>
    <row r="1344" spans="1:15" x14ac:dyDescent="0.3">
      <c r="A1344" t="str">
        <f t="shared" si="20"/>
        <v>ETHW001275-R000-WW</v>
      </c>
      <c r="B1344" t="s">
        <v>14</v>
      </c>
      <c r="C1344" t="s">
        <v>1205</v>
      </c>
      <c r="D1344" t="s">
        <v>28</v>
      </c>
      <c r="E1344" t="s">
        <v>1206</v>
      </c>
      <c r="F1344" t="s">
        <v>18</v>
      </c>
      <c r="G1344" t="s">
        <v>22</v>
      </c>
      <c r="H1344">
        <v>0</v>
      </c>
      <c r="I1344">
        <v>4</v>
      </c>
      <c r="J1344">
        <v>320</v>
      </c>
      <c r="K1344">
        <v>1280</v>
      </c>
      <c r="L1344">
        <v>0</v>
      </c>
      <c r="M1344">
        <v>1280</v>
      </c>
      <c r="N1344" t="s">
        <v>1207</v>
      </c>
      <c r="O1344" t="s">
        <v>1098</v>
      </c>
    </row>
    <row r="1345" spans="1:15" x14ac:dyDescent="0.3">
      <c r="A1345" t="str">
        <f t="shared" si="20"/>
        <v>ETHW001275-R000-WW</v>
      </c>
      <c r="B1345" t="s">
        <v>14</v>
      </c>
      <c r="C1345" t="s">
        <v>1205</v>
      </c>
      <c r="D1345" t="s">
        <v>28</v>
      </c>
      <c r="E1345" t="s">
        <v>1206</v>
      </c>
      <c r="F1345" t="s">
        <v>18</v>
      </c>
      <c r="G1345" t="s">
        <v>83</v>
      </c>
      <c r="H1345">
        <v>0</v>
      </c>
      <c r="I1345">
        <v>400</v>
      </c>
      <c r="J1345">
        <v>320</v>
      </c>
      <c r="K1345">
        <v>128000</v>
      </c>
      <c r="L1345">
        <v>0</v>
      </c>
      <c r="M1345">
        <v>128000</v>
      </c>
      <c r="N1345" t="s">
        <v>1207</v>
      </c>
      <c r="O1345" t="s">
        <v>1098</v>
      </c>
    </row>
    <row r="1346" spans="1:15" x14ac:dyDescent="0.3">
      <c r="A1346" t="str">
        <f t="shared" si="20"/>
        <v>NSNGDG0001230-NT</v>
      </c>
      <c r="B1346" t="s">
        <v>14</v>
      </c>
      <c r="C1346" t="s">
        <v>1208</v>
      </c>
      <c r="D1346" t="s">
        <v>52</v>
      </c>
      <c r="E1346" t="s">
        <v>1209</v>
      </c>
      <c r="F1346" t="s">
        <v>18</v>
      </c>
      <c r="G1346" t="s">
        <v>23</v>
      </c>
      <c r="H1346">
        <v>0</v>
      </c>
      <c r="I1346">
        <v>2000</v>
      </c>
      <c r="J1346">
        <v>83</v>
      </c>
      <c r="K1346">
        <v>166000</v>
      </c>
      <c r="L1346">
        <v>0</v>
      </c>
      <c r="M1346">
        <v>166000</v>
      </c>
      <c r="N1346" t="s">
        <v>1210</v>
      </c>
      <c r="O1346" t="s">
        <v>1098</v>
      </c>
    </row>
    <row r="1347" spans="1:15" x14ac:dyDescent="0.3">
      <c r="A1347" t="str">
        <f t="shared" ref="A1347:A1410" si="21">C1347&amp;"-"&amp;D1347</f>
        <v>NSNGDG0001230-NT</v>
      </c>
      <c r="B1347" t="s">
        <v>14</v>
      </c>
      <c r="C1347" t="s">
        <v>1208</v>
      </c>
      <c r="D1347" t="s">
        <v>52</v>
      </c>
      <c r="E1347" t="s">
        <v>1209</v>
      </c>
      <c r="F1347" t="s">
        <v>18</v>
      </c>
      <c r="G1347" t="s">
        <v>49</v>
      </c>
      <c r="H1347">
        <v>0</v>
      </c>
      <c r="I1347">
        <v>12000</v>
      </c>
      <c r="J1347">
        <v>83</v>
      </c>
      <c r="K1347">
        <v>996000</v>
      </c>
      <c r="L1347">
        <v>0</v>
      </c>
      <c r="M1347">
        <v>996000</v>
      </c>
      <c r="N1347" t="s">
        <v>1210</v>
      </c>
      <c r="O1347" t="s">
        <v>1098</v>
      </c>
    </row>
    <row r="1348" spans="1:15" x14ac:dyDescent="0.3">
      <c r="A1348" t="str">
        <f t="shared" si="21"/>
        <v>NSNW000941-R000-BG</v>
      </c>
      <c r="B1348" t="s">
        <v>14</v>
      </c>
      <c r="C1348" t="s">
        <v>1211</v>
      </c>
      <c r="D1348" t="s">
        <v>200</v>
      </c>
      <c r="E1348" t="s">
        <v>1212</v>
      </c>
      <c r="F1348" t="s">
        <v>18</v>
      </c>
      <c r="G1348" t="s">
        <v>22</v>
      </c>
      <c r="H1348">
        <v>0</v>
      </c>
      <c r="I1348">
        <v>88</v>
      </c>
      <c r="J1348">
        <v>780</v>
      </c>
      <c r="K1348">
        <v>68640</v>
      </c>
      <c r="L1348">
        <v>0</v>
      </c>
      <c r="M1348">
        <v>68640</v>
      </c>
      <c r="O1348" t="s">
        <v>1098</v>
      </c>
    </row>
    <row r="1349" spans="1:15" x14ac:dyDescent="0.3">
      <c r="A1349" t="str">
        <f t="shared" si="21"/>
        <v>NSNW000941-R000-DG</v>
      </c>
      <c r="B1349" t="s">
        <v>14</v>
      </c>
      <c r="C1349" t="s">
        <v>1211</v>
      </c>
      <c r="D1349" t="s">
        <v>1213</v>
      </c>
      <c r="E1349" t="s">
        <v>1214</v>
      </c>
      <c r="F1349" t="s">
        <v>18</v>
      </c>
      <c r="G1349" t="s">
        <v>23</v>
      </c>
      <c r="H1349">
        <v>0</v>
      </c>
      <c r="I1349">
        <v>10</v>
      </c>
      <c r="J1349">
        <v>780</v>
      </c>
      <c r="K1349">
        <v>7800</v>
      </c>
      <c r="L1349">
        <v>0</v>
      </c>
      <c r="M1349">
        <v>7800</v>
      </c>
      <c r="O1349" t="s">
        <v>1098</v>
      </c>
    </row>
    <row r="1350" spans="1:15" x14ac:dyDescent="0.3">
      <c r="A1350" t="str">
        <f t="shared" si="21"/>
        <v>NSNW000941-R000-DG</v>
      </c>
      <c r="B1350" t="s">
        <v>14</v>
      </c>
      <c r="C1350" t="s">
        <v>1211</v>
      </c>
      <c r="D1350" t="s">
        <v>1213</v>
      </c>
      <c r="E1350" t="s">
        <v>1214</v>
      </c>
      <c r="F1350" t="s">
        <v>18</v>
      </c>
      <c r="G1350" t="s">
        <v>29</v>
      </c>
      <c r="H1350">
        <v>0</v>
      </c>
      <c r="I1350">
        <v>1</v>
      </c>
      <c r="J1350">
        <v>780</v>
      </c>
      <c r="K1350">
        <v>780</v>
      </c>
      <c r="L1350">
        <v>0</v>
      </c>
      <c r="M1350">
        <v>780</v>
      </c>
      <c r="O1350" t="s">
        <v>1098</v>
      </c>
    </row>
    <row r="1351" spans="1:15" x14ac:dyDescent="0.3">
      <c r="A1351" t="str">
        <f t="shared" si="21"/>
        <v>NSNW000941-R000-DG</v>
      </c>
      <c r="B1351" t="s">
        <v>14</v>
      </c>
      <c r="C1351" t="s">
        <v>1211</v>
      </c>
      <c r="D1351" t="s">
        <v>1213</v>
      </c>
      <c r="E1351" t="s">
        <v>1214</v>
      </c>
      <c r="F1351" t="s">
        <v>18</v>
      </c>
      <c r="G1351" t="s">
        <v>22</v>
      </c>
      <c r="H1351">
        <v>0</v>
      </c>
      <c r="I1351">
        <v>115</v>
      </c>
      <c r="J1351">
        <v>780</v>
      </c>
      <c r="K1351">
        <v>89700</v>
      </c>
      <c r="L1351">
        <v>0</v>
      </c>
      <c r="M1351">
        <v>89700</v>
      </c>
      <c r="O1351" t="s">
        <v>1098</v>
      </c>
    </row>
    <row r="1352" spans="1:15" x14ac:dyDescent="0.3">
      <c r="A1352" t="str">
        <f t="shared" si="21"/>
        <v>NSNW000942-R000-BG</v>
      </c>
      <c r="B1352" t="s">
        <v>14</v>
      </c>
      <c r="C1352" t="s">
        <v>1215</v>
      </c>
      <c r="D1352" t="s">
        <v>200</v>
      </c>
      <c r="E1352" t="s">
        <v>1216</v>
      </c>
      <c r="F1352" t="s">
        <v>18</v>
      </c>
      <c r="G1352" t="s">
        <v>22</v>
      </c>
      <c r="H1352">
        <v>0</v>
      </c>
      <c r="I1352">
        <v>88</v>
      </c>
      <c r="J1352">
        <v>780</v>
      </c>
      <c r="K1352">
        <v>68640</v>
      </c>
      <c r="L1352">
        <v>0</v>
      </c>
      <c r="M1352">
        <v>68640</v>
      </c>
      <c r="O1352" t="s">
        <v>1098</v>
      </c>
    </row>
    <row r="1353" spans="1:15" x14ac:dyDescent="0.3">
      <c r="A1353" t="str">
        <f t="shared" si="21"/>
        <v>NSNW000942-R000-DG</v>
      </c>
      <c r="B1353" t="s">
        <v>14</v>
      </c>
      <c r="C1353" t="s">
        <v>1215</v>
      </c>
      <c r="D1353" t="s">
        <v>1213</v>
      </c>
      <c r="E1353" t="s">
        <v>1217</v>
      </c>
      <c r="F1353" t="s">
        <v>18</v>
      </c>
      <c r="G1353" t="s">
        <v>29</v>
      </c>
      <c r="H1353">
        <v>0</v>
      </c>
      <c r="I1353">
        <v>1</v>
      </c>
      <c r="J1353">
        <v>780</v>
      </c>
      <c r="K1353">
        <v>780</v>
      </c>
      <c r="L1353">
        <v>0</v>
      </c>
      <c r="M1353">
        <v>780</v>
      </c>
      <c r="O1353" t="s">
        <v>1098</v>
      </c>
    </row>
    <row r="1354" spans="1:15" x14ac:dyDescent="0.3">
      <c r="A1354" t="str">
        <f t="shared" si="21"/>
        <v>NSNW000942-R000-DG</v>
      </c>
      <c r="B1354" t="s">
        <v>14</v>
      </c>
      <c r="C1354" t="s">
        <v>1215</v>
      </c>
      <c r="D1354" t="s">
        <v>1213</v>
      </c>
      <c r="E1354" t="s">
        <v>1217</v>
      </c>
      <c r="F1354" t="s">
        <v>18</v>
      </c>
      <c r="G1354" t="s">
        <v>22</v>
      </c>
      <c r="H1354">
        <v>0</v>
      </c>
      <c r="I1354">
        <v>115</v>
      </c>
      <c r="J1354">
        <v>780</v>
      </c>
      <c r="K1354">
        <v>89700</v>
      </c>
      <c r="L1354">
        <v>0</v>
      </c>
      <c r="M1354">
        <v>89700</v>
      </c>
      <c r="O1354" t="s">
        <v>1098</v>
      </c>
    </row>
    <row r="1355" spans="1:15" x14ac:dyDescent="0.3">
      <c r="A1355" t="str">
        <f t="shared" si="21"/>
        <v>NSNW000942-R000-DG</v>
      </c>
      <c r="B1355" t="s">
        <v>14</v>
      </c>
      <c r="C1355" t="s">
        <v>1215</v>
      </c>
      <c r="D1355" t="s">
        <v>1213</v>
      </c>
      <c r="E1355" t="s">
        <v>1217</v>
      </c>
      <c r="F1355" t="s">
        <v>18</v>
      </c>
      <c r="G1355" t="s">
        <v>23</v>
      </c>
      <c r="H1355">
        <v>0</v>
      </c>
      <c r="I1355">
        <v>10</v>
      </c>
      <c r="J1355">
        <v>780</v>
      </c>
      <c r="K1355">
        <v>7800</v>
      </c>
      <c r="L1355">
        <v>0</v>
      </c>
      <c r="M1355">
        <v>7800</v>
      </c>
      <c r="O1355" t="s">
        <v>1098</v>
      </c>
    </row>
    <row r="1356" spans="1:15" x14ac:dyDescent="0.3">
      <c r="A1356" t="str">
        <f t="shared" si="21"/>
        <v>NSNW000952-R000-CG</v>
      </c>
      <c r="B1356" t="s">
        <v>14</v>
      </c>
      <c r="C1356" t="s">
        <v>1218</v>
      </c>
      <c r="D1356" t="s">
        <v>193</v>
      </c>
      <c r="E1356" t="s">
        <v>1219</v>
      </c>
      <c r="F1356" t="s">
        <v>18</v>
      </c>
      <c r="G1356" t="s">
        <v>22</v>
      </c>
      <c r="H1356">
        <v>0</v>
      </c>
      <c r="I1356">
        <v>7</v>
      </c>
      <c r="J1356">
        <v>2380</v>
      </c>
      <c r="K1356">
        <v>16660</v>
      </c>
      <c r="L1356">
        <v>0</v>
      </c>
      <c r="M1356">
        <v>16660</v>
      </c>
      <c r="N1356" t="s">
        <v>1220</v>
      </c>
      <c r="O1356" t="s">
        <v>1098</v>
      </c>
    </row>
    <row r="1357" spans="1:15" x14ac:dyDescent="0.3">
      <c r="A1357" t="str">
        <f t="shared" si="21"/>
        <v>NSNW000954-R000-DG</v>
      </c>
      <c r="B1357" t="s">
        <v>14</v>
      </c>
      <c r="C1357" t="s">
        <v>1983</v>
      </c>
      <c r="D1357" t="s">
        <v>1213</v>
      </c>
      <c r="E1357" t="s">
        <v>1984</v>
      </c>
      <c r="F1357" t="s">
        <v>18</v>
      </c>
      <c r="G1357" t="s">
        <v>29</v>
      </c>
      <c r="H1357">
        <v>0</v>
      </c>
      <c r="I1357">
        <v>1</v>
      </c>
      <c r="J1357">
        <v>2630</v>
      </c>
      <c r="K1357">
        <v>2630</v>
      </c>
      <c r="L1357">
        <v>0</v>
      </c>
      <c r="M1357">
        <v>2630</v>
      </c>
      <c r="N1357" t="s">
        <v>1985</v>
      </c>
      <c r="O1357" t="s">
        <v>1098</v>
      </c>
    </row>
    <row r="1358" spans="1:15" x14ac:dyDescent="0.3">
      <c r="A1358" t="str">
        <f t="shared" si="21"/>
        <v>NSNW000961-R000-NI</v>
      </c>
      <c r="B1358" t="s">
        <v>14</v>
      </c>
      <c r="C1358" t="s">
        <v>1986</v>
      </c>
      <c r="D1358" t="s">
        <v>67</v>
      </c>
      <c r="E1358" t="s">
        <v>1987</v>
      </c>
      <c r="F1358" t="s">
        <v>18</v>
      </c>
      <c r="G1358" t="s">
        <v>29</v>
      </c>
      <c r="H1358">
        <v>0</v>
      </c>
      <c r="I1358">
        <v>300</v>
      </c>
      <c r="J1358">
        <v>38</v>
      </c>
      <c r="K1358">
        <v>11400</v>
      </c>
      <c r="L1358">
        <v>0</v>
      </c>
      <c r="M1358">
        <v>11400</v>
      </c>
      <c r="N1358" t="s">
        <v>1988</v>
      </c>
      <c r="O1358" t="s">
        <v>1098</v>
      </c>
    </row>
    <row r="1359" spans="1:15" x14ac:dyDescent="0.3">
      <c r="A1359" t="str">
        <f t="shared" si="21"/>
        <v>NSNW000961-R000-NI</v>
      </c>
      <c r="B1359" t="s">
        <v>14</v>
      </c>
      <c r="C1359" t="s">
        <v>1986</v>
      </c>
      <c r="D1359" t="s">
        <v>67</v>
      </c>
      <c r="E1359" t="s">
        <v>1987</v>
      </c>
      <c r="F1359" t="s">
        <v>18</v>
      </c>
      <c r="G1359" t="s">
        <v>23</v>
      </c>
      <c r="H1359">
        <v>0</v>
      </c>
      <c r="I1359">
        <v>2000</v>
      </c>
      <c r="J1359">
        <v>38</v>
      </c>
      <c r="K1359">
        <v>76000</v>
      </c>
      <c r="L1359">
        <v>0</v>
      </c>
      <c r="M1359">
        <v>76000</v>
      </c>
      <c r="N1359" t="s">
        <v>1988</v>
      </c>
      <c r="O1359" t="s">
        <v>1098</v>
      </c>
    </row>
    <row r="1360" spans="1:15" x14ac:dyDescent="0.3">
      <c r="A1360" t="str">
        <f t="shared" si="21"/>
        <v>NSNW000961-R000-NI</v>
      </c>
      <c r="B1360" t="s">
        <v>14</v>
      </c>
      <c r="C1360" t="s">
        <v>1986</v>
      </c>
      <c r="D1360" t="s">
        <v>67</v>
      </c>
      <c r="E1360" t="s">
        <v>1987</v>
      </c>
      <c r="F1360" t="s">
        <v>18</v>
      </c>
      <c r="G1360" t="s">
        <v>22</v>
      </c>
      <c r="H1360">
        <v>0</v>
      </c>
      <c r="I1360">
        <v>1000</v>
      </c>
      <c r="J1360">
        <v>38</v>
      </c>
      <c r="K1360">
        <v>38000</v>
      </c>
      <c r="L1360">
        <v>0</v>
      </c>
      <c r="M1360">
        <v>38000</v>
      </c>
      <c r="N1360" t="s">
        <v>1988</v>
      </c>
      <c r="O1360" t="s">
        <v>1098</v>
      </c>
    </row>
    <row r="1361" spans="1:15" x14ac:dyDescent="0.3">
      <c r="A1361" t="str">
        <f t="shared" si="21"/>
        <v>NSNW000962-R000-NI</v>
      </c>
      <c r="B1361" t="s">
        <v>14</v>
      </c>
      <c r="C1361" t="s">
        <v>1989</v>
      </c>
      <c r="D1361" t="s">
        <v>67</v>
      </c>
      <c r="E1361" t="s">
        <v>1990</v>
      </c>
      <c r="F1361" t="s">
        <v>18</v>
      </c>
      <c r="G1361" t="s">
        <v>23</v>
      </c>
      <c r="H1361">
        <v>0</v>
      </c>
      <c r="I1361">
        <v>2000</v>
      </c>
      <c r="J1361">
        <v>37</v>
      </c>
      <c r="K1361">
        <v>74000</v>
      </c>
      <c r="L1361">
        <v>0</v>
      </c>
      <c r="M1361">
        <v>74000</v>
      </c>
      <c r="N1361" t="s">
        <v>1988</v>
      </c>
      <c r="O1361" t="s">
        <v>1098</v>
      </c>
    </row>
    <row r="1362" spans="1:15" x14ac:dyDescent="0.3">
      <c r="A1362" t="str">
        <f t="shared" si="21"/>
        <v>NSNW000962-R000-NI</v>
      </c>
      <c r="B1362" t="s">
        <v>14</v>
      </c>
      <c r="C1362" t="s">
        <v>1989</v>
      </c>
      <c r="D1362" t="s">
        <v>67</v>
      </c>
      <c r="E1362" t="s">
        <v>1990</v>
      </c>
      <c r="F1362" t="s">
        <v>18</v>
      </c>
      <c r="G1362" t="s">
        <v>29</v>
      </c>
      <c r="H1362">
        <v>0</v>
      </c>
      <c r="I1362">
        <v>300</v>
      </c>
      <c r="J1362">
        <v>37</v>
      </c>
      <c r="K1362">
        <v>11100</v>
      </c>
      <c r="L1362">
        <v>0</v>
      </c>
      <c r="M1362">
        <v>11100</v>
      </c>
      <c r="N1362" t="s">
        <v>1988</v>
      </c>
      <c r="O1362" t="s">
        <v>1098</v>
      </c>
    </row>
    <row r="1363" spans="1:15" x14ac:dyDescent="0.3">
      <c r="A1363" t="str">
        <f t="shared" si="21"/>
        <v>NSNW000962-R000-NI</v>
      </c>
      <c r="B1363" t="s">
        <v>14</v>
      </c>
      <c r="C1363" t="s">
        <v>1989</v>
      </c>
      <c r="D1363" t="s">
        <v>67</v>
      </c>
      <c r="E1363" t="s">
        <v>1990</v>
      </c>
      <c r="F1363" t="s">
        <v>18</v>
      </c>
      <c r="G1363" t="s">
        <v>22</v>
      </c>
      <c r="H1363">
        <v>0</v>
      </c>
      <c r="I1363">
        <v>1000</v>
      </c>
      <c r="J1363">
        <v>37</v>
      </c>
      <c r="K1363">
        <v>37000</v>
      </c>
      <c r="L1363">
        <v>0</v>
      </c>
      <c r="M1363">
        <v>37000</v>
      </c>
      <c r="N1363" t="s">
        <v>1988</v>
      </c>
      <c r="O1363" t="s">
        <v>1098</v>
      </c>
    </row>
    <row r="1364" spans="1:15" x14ac:dyDescent="0.3">
      <c r="A1364" t="str">
        <f t="shared" si="21"/>
        <v>NSNW001059-R000-SV</v>
      </c>
      <c r="B1364" t="s">
        <v>14</v>
      </c>
      <c r="C1364" t="s">
        <v>1221</v>
      </c>
      <c r="D1364" t="s">
        <v>173</v>
      </c>
      <c r="E1364" t="s">
        <v>1222</v>
      </c>
      <c r="F1364" t="s">
        <v>18</v>
      </c>
      <c r="G1364" t="s">
        <v>22</v>
      </c>
      <c r="H1364">
        <v>0</v>
      </c>
      <c r="I1364">
        <v>1</v>
      </c>
      <c r="J1364">
        <v>1710</v>
      </c>
      <c r="K1364">
        <v>1710</v>
      </c>
      <c r="L1364">
        <v>0</v>
      </c>
      <c r="M1364">
        <v>1710</v>
      </c>
      <c r="N1364" t="s">
        <v>1223</v>
      </c>
      <c r="O1364" t="s">
        <v>1098</v>
      </c>
    </row>
    <row r="1365" spans="1:15" x14ac:dyDescent="0.3">
      <c r="A1365" t="str">
        <f t="shared" si="21"/>
        <v>NSTGNP0000018-XX</v>
      </c>
      <c r="B1365" t="s">
        <v>14</v>
      </c>
      <c r="C1365" t="s">
        <v>1224</v>
      </c>
      <c r="D1365" t="s">
        <v>16</v>
      </c>
      <c r="E1365" t="s">
        <v>1225</v>
      </c>
      <c r="F1365" t="s">
        <v>18</v>
      </c>
      <c r="G1365" t="s">
        <v>1810</v>
      </c>
      <c r="H1365">
        <v>0</v>
      </c>
      <c r="I1365">
        <v>1000</v>
      </c>
      <c r="J1365">
        <v>810</v>
      </c>
      <c r="K1365">
        <v>810000</v>
      </c>
      <c r="L1365">
        <v>0</v>
      </c>
      <c r="M1365">
        <v>810000</v>
      </c>
      <c r="N1365" t="s">
        <v>1226</v>
      </c>
      <c r="O1365" t="s">
        <v>1098</v>
      </c>
    </row>
    <row r="1366" spans="1:15" x14ac:dyDescent="0.3">
      <c r="A1366" t="str">
        <f t="shared" si="21"/>
        <v>NSTGNP0000018-XX</v>
      </c>
      <c r="B1366" t="s">
        <v>14</v>
      </c>
      <c r="C1366" t="s">
        <v>1224</v>
      </c>
      <c r="D1366" t="s">
        <v>16</v>
      </c>
      <c r="E1366" t="s">
        <v>1225</v>
      </c>
      <c r="F1366" t="s">
        <v>18</v>
      </c>
      <c r="G1366" t="s">
        <v>68</v>
      </c>
      <c r="H1366">
        <v>0</v>
      </c>
      <c r="I1366">
        <v>300</v>
      </c>
      <c r="J1366">
        <v>820</v>
      </c>
      <c r="K1366">
        <v>246000</v>
      </c>
      <c r="L1366">
        <v>0</v>
      </c>
      <c r="M1366">
        <v>246000</v>
      </c>
      <c r="N1366" t="s">
        <v>1226</v>
      </c>
      <c r="O1366" t="s">
        <v>1098</v>
      </c>
    </row>
    <row r="1367" spans="1:15" x14ac:dyDescent="0.3">
      <c r="A1367" t="str">
        <f t="shared" si="21"/>
        <v>NSTGNP0000018-XX</v>
      </c>
      <c r="B1367" t="s">
        <v>14</v>
      </c>
      <c r="C1367" t="s">
        <v>1224</v>
      </c>
      <c r="D1367" t="s">
        <v>16</v>
      </c>
      <c r="E1367" t="s">
        <v>1225</v>
      </c>
      <c r="F1367" t="s">
        <v>18</v>
      </c>
      <c r="G1367" t="s">
        <v>246</v>
      </c>
      <c r="H1367">
        <v>0</v>
      </c>
      <c r="I1367">
        <v>600</v>
      </c>
      <c r="J1367">
        <v>820</v>
      </c>
      <c r="K1367">
        <v>492000</v>
      </c>
      <c r="L1367">
        <v>0</v>
      </c>
      <c r="M1367">
        <v>492000</v>
      </c>
      <c r="N1367" t="s">
        <v>1226</v>
      </c>
      <c r="O1367" t="s">
        <v>1098</v>
      </c>
    </row>
    <row r="1368" spans="1:15" x14ac:dyDescent="0.3">
      <c r="A1368" t="str">
        <f t="shared" si="21"/>
        <v>NSTGNP0000018-XX</v>
      </c>
      <c r="B1368" t="s">
        <v>14</v>
      </c>
      <c r="C1368" t="s">
        <v>1224</v>
      </c>
      <c r="D1368" t="s">
        <v>16</v>
      </c>
      <c r="E1368" t="s">
        <v>1225</v>
      </c>
      <c r="F1368" t="s">
        <v>18</v>
      </c>
      <c r="G1368" t="s">
        <v>210</v>
      </c>
      <c r="H1368">
        <v>0</v>
      </c>
      <c r="I1368">
        <v>1300</v>
      </c>
      <c r="J1368">
        <v>820</v>
      </c>
      <c r="K1368">
        <v>1066000</v>
      </c>
      <c r="L1368">
        <v>0</v>
      </c>
      <c r="M1368">
        <v>1066000</v>
      </c>
      <c r="N1368" t="s">
        <v>1226</v>
      </c>
      <c r="O1368" t="s">
        <v>1098</v>
      </c>
    </row>
    <row r="1369" spans="1:15" x14ac:dyDescent="0.3">
      <c r="A1369" t="str">
        <f t="shared" si="21"/>
        <v>OPPW001782-R000-CLS</v>
      </c>
      <c r="B1369" t="s">
        <v>14</v>
      </c>
      <c r="C1369" t="s">
        <v>1227</v>
      </c>
      <c r="D1369" t="s">
        <v>40</v>
      </c>
      <c r="E1369" t="s">
        <v>1228</v>
      </c>
      <c r="F1369" t="s">
        <v>18</v>
      </c>
      <c r="G1369" t="s">
        <v>35</v>
      </c>
      <c r="H1369">
        <v>0</v>
      </c>
      <c r="I1369">
        <v>4000</v>
      </c>
      <c r="J1369">
        <v>27</v>
      </c>
      <c r="K1369">
        <v>108000</v>
      </c>
      <c r="L1369">
        <v>0</v>
      </c>
      <c r="M1369">
        <v>108000</v>
      </c>
      <c r="N1369" t="s">
        <v>1229</v>
      </c>
      <c r="O1369" t="s">
        <v>1098</v>
      </c>
    </row>
    <row r="1370" spans="1:15" x14ac:dyDescent="0.3">
      <c r="A1370" t="str">
        <f t="shared" si="21"/>
        <v>OPPW001782-R000-CLS</v>
      </c>
      <c r="B1370" t="s">
        <v>14</v>
      </c>
      <c r="C1370" t="s">
        <v>1227</v>
      </c>
      <c r="D1370" t="s">
        <v>40</v>
      </c>
      <c r="E1370" t="s">
        <v>1228</v>
      </c>
      <c r="F1370" t="s">
        <v>18</v>
      </c>
      <c r="G1370" t="s">
        <v>174</v>
      </c>
      <c r="H1370">
        <v>0</v>
      </c>
      <c r="I1370">
        <v>2000</v>
      </c>
      <c r="J1370">
        <v>27</v>
      </c>
      <c r="K1370">
        <v>54000</v>
      </c>
      <c r="L1370">
        <v>0</v>
      </c>
      <c r="M1370">
        <v>54000</v>
      </c>
      <c r="N1370" t="s">
        <v>1229</v>
      </c>
      <c r="O1370" t="s">
        <v>1098</v>
      </c>
    </row>
    <row r="1371" spans="1:15" x14ac:dyDescent="0.3">
      <c r="A1371" t="str">
        <f t="shared" si="21"/>
        <v>OPPW002011-R000-BK</v>
      </c>
      <c r="B1371" t="s">
        <v>14</v>
      </c>
      <c r="C1371" t="s">
        <v>1230</v>
      </c>
      <c r="D1371" t="s">
        <v>31</v>
      </c>
      <c r="E1371" t="s">
        <v>1991</v>
      </c>
      <c r="F1371" t="s">
        <v>18</v>
      </c>
      <c r="G1371" t="s">
        <v>29</v>
      </c>
      <c r="H1371">
        <v>0</v>
      </c>
      <c r="I1371">
        <v>20</v>
      </c>
      <c r="J1371">
        <v>9</v>
      </c>
      <c r="K1371">
        <v>180</v>
      </c>
      <c r="L1371">
        <v>0</v>
      </c>
      <c r="M1371">
        <v>180</v>
      </c>
      <c r="N1371" t="s">
        <v>1232</v>
      </c>
      <c r="O1371" t="s">
        <v>1098</v>
      </c>
    </row>
    <row r="1372" spans="1:15" x14ac:dyDescent="0.3">
      <c r="A1372" t="str">
        <f t="shared" si="21"/>
        <v>OPPW002011-R000-MM</v>
      </c>
      <c r="B1372" t="s">
        <v>14</v>
      </c>
      <c r="C1372" t="s">
        <v>1230</v>
      </c>
      <c r="D1372" t="s">
        <v>57</v>
      </c>
      <c r="E1372" t="s">
        <v>1231</v>
      </c>
      <c r="F1372" t="s">
        <v>18</v>
      </c>
      <c r="G1372" t="s">
        <v>29</v>
      </c>
      <c r="H1372">
        <v>0</v>
      </c>
      <c r="I1372">
        <v>20</v>
      </c>
      <c r="J1372">
        <v>9</v>
      </c>
      <c r="K1372">
        <v>180</v>
      </c>
      <c r="L1372">
        <v>0</v>
      </c>
      <c r="M1372">
        <v>180</v>
      </c>
      <c r="N1372" t="s">
        <v>1232</v>
      </c>
      <c r="O1372" t="s">
        <v>1098</v>
      </c>
    </row>
    <row r="1373" spans="1:15" x14ac:dyDescent="0.3">
      <c r="A1373" t="str">
        <f t="shared" si="21"/>
        <v>OPPW002011-R000-PO</v>
      </c>
      <c r="B1373" t="s">
        <v>14</v>
      </c>
      <c r="C1373" t="s">
        <v>1230</v>
      </c>
      <c r="D1373" t="s">
        <v>1233</v>
      </c>
      <c r="E1373" t="s">
        <v>1234</v>
      </c>
      <c r="F1373" t="s">
        <v>18</v>
      </c>
      <c r="G1373" t="s">
        <v>35</v>
      </c>
      <c r="H1373">
        <v>0</v>
      </c>
      <c r="I1373">
        <v>36000</v>
      </c>
      <c r="J1373">
        <v>9</v>
      </c>
      <c r="K1373">
        <v>324000</v>
      </c>
      <c r="L1373">
        <v>0</v>
      </c>
      <c r="M1373">
        <v>324000</v>
      </c>
      <c r="N1373" t="s">
        <v>1232</v>
      </c>
      <c r="O1373" t="s">
        <v>1098</v>
      </c>
    </row>
    <row r="1374" spans="1:15" x14ac:dyDescent="0.3">
      <c r="A1374" t="str">
        <f t="shared" si="21"/>
        <v>OPPW002011-R000-PO</v>
      </c>
      <c r="B1374" t="s">
        <v>14</v>
      </c>
      <c r="C1374" t="s">
        <v>1230</v>
      </c>
      <c r="D1374" t="s">
        <v>1233</v>
      </c>
      <c r="E1374" t="s">
        <v>1234</v>
      </c>
      <c r="F1374" t="s">
        <v>18</v>
      </c>
      <c r="G1374" t="s">
        <v>246</v>
      </c>
      <c r="H1374">
        <v>0</v>
      </c>
      <c r="I1374">
        <v>12000</v>
      </c>
      <c r="J1374">
        <v>9</v>
      </c>
      <c r="K1374">
        <v>108000</v>
      </c>
      <c r="L1374">
        <v>0</v>
      </c>
      <c r="M1374">
        <v>108000</v>
      </c>
      <c r="N1374" t="s">
        <v>1232</v>
      </c>
      <c r="O1374" t="s">
        <v>1098</v>
      </c>
    </row>
    <row r="1375" spans="1:15" x14ac:dyDescent="0.3">
      <c r="A1375" t="str">
        <f t="shared" si="21"/>
        <v>OPPW002011-R000-UA</v>
      </c>
      <c r="B1375" t="s">
        <v>14</v>
      </c>
      <c r="C1375" t="s">
        <v>1230</v>
      </c>
      <c r="D1375" t="s">
        <v>59</v>
      </c>
      <c r="E1375" t="s">
        <v>1235</v>
      </c>
      <c r="F1375" t="s">
        <v>18</v>
      </c>
      <c r="G1375" t="s">
        <v>35</v>
      </c>
      <c r="H1375">
        <v>0</v>
      </c>
      <c r="I1375">
        <v>12000</v>
      </c>
      <c r="J1375">
        <v>9</v>
      </c>
      <c r="K1375">
        <v>108000</v>
      </c>
      <c r="L1375">
        <v>0</v>
      </c>
      <c r="M1375">
        <v>108000</v>
      </c>
      <c r="N1375" t="s">
        <v>1232</v>
      </c>
      <c r="O1375" t="s">
        <v>1098</v>
      </c>
    </row>
    <row r="1376" spans="1:15" x14ac:dyDescent="0.3">
      <c r="A1376" t="str">
        <f t="shared" si="21"/>
        <v>OPPW002011-R000-WW</v>
      </c>
      <c r="B1376" t="s">
        <v>14</v>
      </c>
      <c r="C1376" t="s">
        <v>1230</v>
      </c>
      <c r="D1376" t="s">
        <v>28</v>
      </c>
      <c r="E1376" t="s">
        <v>1236</v>
      </c>
      <c r="F1376" t="s">
        <v>18</v>
      </c>
      <c r="G1376" t="s">
        <v>246</v>
      </c>
      <c r="H1376">
        <v>0</v>
      </c>
      <c r="I1376">
        <v>12000</v>
      </c>
      <c r="J1376">
        <v>9</v>
      </c>
      <c r="K1376">
        <v>108000</v>
      </c>
      <c r="L1376">
        <v>0</v>
      </c>
      <c r="M1376">
        <v>108000</v>
      </c>
      <c r="N1376" t="s">
        <v>1232</v>
      </c>
      <c r="O1376" t="s">
        <v>1098</v>
      </c>
    </row>
    <row r="1377" spans="1:15" x14ac:dyDescent="0.3">
      <c r="A1377" t="str">
        <f t="shared" si="21"/>
        <v>OPPW002011-R000-WW</v>
      </c>
      <c r="B1377" t="s">
        <v>14</v>
      </c>
      <c r="C1377" t="s">
        <v>1230</v>
      </c>
      <c r="D1377" t="s">
        <v>28</v>
      </c>
      <c r="E1377" t="s">
        <v>1236</v>
      </c>
      <c r="F1377" t="s">
        <v>18</v>
      </c>
      <c r="G1377" t="s">
        <v>35</v>
      </c>
      <c r="H1377">
        <v>0</v>
      </c>
      <c r="I1377">
        <v>12000</v>
      </c>
      <c r="J1377">
        <v>9</v>
      </c>
      <c r="K1377">
        <v>108000</v>
      </c>
      <c r="L1377">
        <v>0</v>
      </c>
      <c r="M1377">
        <v>108000</v>
      </c>
      <c r="N1377" t="s">
        <v>1232</v>
      </c>
      <c r="O1377" t="s">
        <v>1098</v>
      </c>
    </row>
    <row r="1378" spans="1:15" x14ac:dyDescent="0.3">
      <c r="A1378" t="str">
        <f t="shared" si="21"/>
        <v>OPPW002011-R000-WW</v>
      </c>
      <c r="B1378" t="s">
        <v>14</v>
      </c>
      <c r="C1378" t="s">
        <v>1230</v>
      </c>
      <c r="D1378" t="s">
        <v>28</v>
      </c>
      <c r="E1378" t="s">
        <v>1236</v>
      </c>
      <c r="F1378" t="s">
        <v>18</v>
      </c>
      <c r="G1378" t="s">
        <v>22</v>
      </c>
      <c r="H1378">
        <v>0</v>
      </c>
      <c r="I1378">
        <v>3000</v>
      </c>
      <c r="J1378">
        <v>9</v>
      </c>
      <c r="K1378">
        <v>27000</v>
      </c>
      <c r="L1378">
        <v>0</v>
      </c>
      <c r="M1378">
        <v>27000</v>
      </c>
      <c r="N1378" t="s">
        <v>1232</v>
      </c>
      <c r="O1378" t="s">
        <v>1098</v>
      </c>
    </row>
    <row r="1379" spans="1:15" x14ac:dyDescent="0.3">
      <c r="A1379" t="str">
        <f t="shared" si="21"/>
        <v>OPPW002011-R000-WW</v>
      </c>
      <c r="B1379" t="s">
        <v>14</v>
      </c>
      <c r="C1379" t="s">
        <v>1230</v>
      </c>
      <c r="D1379" t="s">
        <v>28</v>
      </c>
      <c r="E1379" t="s">
        <v>1236</v>
      </c>
      <c r="F1379" t="s">
        <v>18</v>
      </c>
      <c r="G1379" t="s">
        <v>19</v>
      </c>
      <c r="H1379">
        <v>0</v>
      </c>
      <c r="I1379">
        <v>12000</v>
      </c>
      <c r="J1379">
        <v>9</v>
      </c>
      <c r="K1379">
        <v>108000</v>
      </c>
      <c r="L1379">
        <v>0</v>
      </c>
      <c r="M1379">
        <v>108000</v>
      </c>
      <c r="N1379" t="s">
        <v>1232</v>
      </c>
      <c r="O1379" t="s">
        <v>1098</v>
      </c>
    </row>
    <row r="1380" spans="1:15" x14ac:dyDescent="0.3">
      <c r="A1380" t="str">
        <f t="shared" si="21"/>
        <v>OPPW002012-R000-MM</v>
      </c>
      <c r="B1380" t="s">
        <v>14</v>
      </c>
      <c r="C1380" t="s">
        <v>1237</v>
      </c>
      <c r="D1380" t="s">
        <v>57</v>
      </c>
      <c r="E1380" t="s">
        <v>1239</v>
      </c>
      <c r="F1380" t="s">
        <v>18</v>
      </c>
      <c r="G1380" t="s">
        <v>29</v>
      </c>
      <c r="H1380">
        <v>0</v>
      </c>
      <c r="I1380">
        <v>20</v>
      </c>
      <c r="J1380">
        <v>9</v>
      </c>
      <c r="K1380">
        <v>180</v>
      </c>
      <c r="L1380">
        <v>0</v>
      </c>
      <c r="M1380">
        <v>180</v>
      </c>
      <c r="N1380" t="s">
        <v>1238</v>
      </c>
      <c r="O1380" t="s">
        <v>1098</v>
      </c>
    </row>
    <row r="1381" spans="1:15" x14ac:dyDescent="0.3">
      <c r="A1381" t="str">
        <f t="shared" si="21"/>
        <v>OPPW002012-R000-WW</v>
      </c>
      <c r="B1381" t="s">
        <v>14</v>
      </c>
      <c r="C1381" t="s">
        <v>1237</v>
      </c>
      <c r="D1381" t="s">
        <v>28</v>
      </c>
      <c r="E1381" t="s">
        <v>1240</v>
      </c>
      <c r="F1381" t="s">
        <v>18</v>
      </c>
      <c r="G1381" t="s">
        <v>35</v>
      </c>
      <c r="H1381">
        <v>0</v>
      </c>
      <c r="I1381">
        <v>12000</v>
      </c>
      <c r="J1381">
        <v>9</v>
      </c>
      <c r="K1381">
        <v>108000</v>
      </c>
      <c r="L1381">
        <v>0</v>
      </c>
      <c r="M1381">
        <v>108000</v>
      </c>
      <c r="N1381" t="s">
        <v>1238</v>
      </c>
      <c r="O1381" t="s">
        <v>1098</v>
      </c>
    </row>
    <row r="1382" spans="1:15" x14ac:dyDescent="0.3">
      <c r="A1382" t="str">
        <f t="shared" si="21"/>
        <v>OPPW002498-R000-BK</v>
      </c>
      <c r="B1382" t="s">
        <v>14</v>
      </c>
      <c r="C1382" t="s">
        <v>1992</v>
      </c>
      <c r="D1382" t="s">
        <v>31</v>
      </c>
      <c r="E1382" t="s">
        <v>1993</v>
      </c>
      <c r="F1382" t="s">
        <v>18</v>
      </c>
      <c r="G1382" t="s">
        <v>35</v>
      </c>
      <c r="H1382">
        <v>0</v>
      </c>
      <c r="I1382">
        <v>2</v>
      </c>
      <c r="J1382">
        <v>80</v>
      </c>
      <c r="K1382">
        <v>160</v>
      </c>
      <c r="L1382">
        <v>0</v>
      </c>
      <c r="M1382">
        <v>160</v>
      </c>
      <c r="N1382" t="s">
        <v>1994</v>
      </c>
      <c r="O1382" t="s">
        <v>1098</v>
      </c>
    </row>
    <row r="1383" spans="1:15" x14ac:dyDescent="0.3">
      <c r="A1383" t="str">
        <f t="shared" si="21"/>
        <v>OPPW002498-R000-BK</v>
      </c>
      <c r="B1383" t="s">
        <v>14</v>
      </c>
      <c r="C1383" t="s">
        <v>1992</v>
      </c>
      <c r="D1383" t="s">
        <v>31</v>
      </c>
      <c r="E1383" t="s">
        <v>1993</v>
      </c>
      <c r="F1383" t="s">
        <v>18</v>
      </c>
      <c r="G1383" t="s">
        <v>29</v>
      </c>
      <c r="H1383">
        <v>0</v>
      </c>
      <c r="I1383">
        <v>100</v>
      </c>
      <c r="J1383">
        <v>88</v>
      </c>
      <c r="K1383">
        <v>8800</v>
      </c>
      <c r="L1383">
        <v>0</v>
      </c>
      <c r="M1383">
        <v>8800</v>
      </c>
      <c r="N1383" t="s">
        <v>1994</v>
      </c>
      <c r="O1383" t="s">
        <v>1098</v>
      </c>
    </row>
    <row r="1384" spans="1:15" x14ac:dyDescent="0.3">
      <c r="A1384" t="str">
        <f t="shared" si="21"/>
        <v>OPPW002525-R000-CG</v>
      </c>
      <c r="B1384" t="s">
        <v>14</v>
      </c>
      <c r="C1384" t="s">
        <v>1241</v>
      </c>
      <c r="D1384" t="s">
        <v>193</v>
      </c>
      <c r="E1384" t="s">
        <v>1242</v>
      </c>
      <c r="F1384" t="s">
        <v>18</v>
      </c>
      <c r="G1384" t="s">
        <v>23</v>
      </c>
      <c r="H1384">
        <v>0</v>
      </c>
      <c r="I1384">
        <v>1000</v>
      </c>
      <c r="J1384">
        <v>110</v>
      </c>
      <c r="K1384">
        <v>110000</v>
      </c>
      <c r="L1384">
        <v>0</v>
      </c>
      <c r="M1384">
        <v>110000</v>
      </c>
      <c r="O1384" t="s">
        <v>1098</v>
      </c>
    </row>
    <row r="1385" spans="1:15" x14ac:dyDescent="0.3">
      <c r="A1385" t="str">
        <f t="shared" si="21"/>
        <v>OPPW002525-R000-CG</v>
      </c>
      <c r="B1385" t="s">
        <v>14</v>
      </c>
      <c r="C1385" t="s">
        <v>1241</v>
      </c>
      <c r="D1385" t="s">
        <v>193</v>
      </c>
      <c r="E1385" t="s">
        <v>1242</v>
      </c>
      <c r="F1385" t="s">
        <v>18</v>
      </c>
      <c r="G1385" t="s">
        <v>29</v>
      </c>
      <c r="H1385">
        <v>0</v>
      </c>
      <c r="I1385">
        <v>8</v>
      </c>
      <c r="J1385">
        <v>110</v>
      </c>
      <c r="K1385">
        <v>880</v>
      </c>
      <c r="L1385">
        <v>0</v>
      </c>
      <c r="M1385">
        <v>880</v>
      </c>
      <c r="O1385" t="s">
        <v>1098</v>
      </c>
    </row>
    <row r="1386" spans="1:15" x14ac:dyDescent="0.3">
      <c r="A1386" t="str">
        <f t="shared" si="21"/>
        <v>OPPW002527-R000-BK</v>
      </c>
      <c r="B1386" t="s">
        <v>14</v>
      </c>
      <c r="C1386" t="s">
        <v>1243</v>
      </c>
      <c r="D1386" t="s">
        <v>31</v>
      </c>
      <c r="E1386" t="s">
        <v>1244</v>
      </c>
      <c r="F1386" t="s">
        <v>18</v>
      </c>
      <c r="G1386" t="s">
        <v>68</v>
      </c>
      <c r="H1386">
        <v>0</v>
      </c>
      <c r="I1386">
        <v>3000</v>
      </c>
      <c r="J1386">
        <v>63</v>
      </c>
      <c r="K1386">
        <v>189000</v>
      </c>
      <c r="L1386">
        <v>0</v>
      </c>
      <c r="M1386">
        <v>189000</v>
      </c>
      <c r="O1386" t="s">
        <v>1098</v>
      </c>
    </row>
    <row r="1387" spans="1:15" x14ac:dyDescent="0.3">
      <c r="A1387" t="str">
        <f t="shared" si="21"/>
        <v>OPPW002527-R000-BK</v>
      </c>
      <c r="B1387" t="s">
        <v>14</v>
      </c>
      <c r="C1387" t="s">
        <v>1243</v>
      </c>
      <c r="D1387" t="s">
        <v>31</v>
      </c>
      <c r="E1387" t="s">
        <v>1244</v>
      </c>
      <c r="F1387" t="s">
        <v>18</v>
      </c>
      <c r="G1387" t="s">
        <v>68</v>
      </c>
      <c r="H1387">
        <v>0</v>
      </c>
      <c r="I1387">
        <v>2500</v>
      </c>
      <c r="J1387">
        <v>67</v>
      </c>
      <c r="K1387">
        <v>167500</v>
      </c>
      <c r="L1387">
        <v>0</v>
      </c>
      <c r="M1387">
        <v>167500</v>
      </c>
      <c r="O1387" t="s">
        <v>1098</v>
      </c>
    </row>
    <row r="1388" spans="1:15" x14ac:dyDescent="0.3">
      <c r="A1388" t="str">
        <f t="shared" si="21"/>
        <v>OPPW002529-R000-XX</v>
      </c>
      <c r="B1388" t="s">
        <v>14</v>
      </c>
      <c r="C1388" t="s">
        <v>1245</v>
      </c>
      <c r="D1388" t="s">
        <v>16</v>
      </c>
      <c r="E1388" t="s">
        <v>1246</v>
      </c>
      <c r="F1388" t="s">
        <v>18</v>
      </c>
      <c r="G1388" t="s">
        <v>120</v>
      </c>
      <c r="H1388">
        <v>0</v>
      </c>
      <c r="I1388">
        <v>2000</v>
      </c>
      <c r="J1388">
        <v>260</v>
      </c>
      <c r="K1388">
        <v>520000</v>
      </c>
      <c r="L1388">
        <v>0</v>
      </c>
      <c r="M1388">
        <v>520000</v>
      </c>
      <c r="N1388" t="s">
        <v>1247</v>
      </c>
      <c r="O1388" t="s">
        <v>1098</v>
      </c>
    </row>
    <row r="1389" spans="1:15" x14ac:dyDescent="0.3">
      <c r="A1389" t="str">
        <f t="shared" si="21"/>
        <v>OPPW002530-R000-XX</v>
      </c>
      <c r="B1389" t="s">
        <v>14</v>
      </c>
      <c r="C1389" t="s">
        <v>1248</v>
      </c>
      <c r="D1389" t="s">
        <v>16</v>
      </c>
      <c r="E1389" t="s">
        <v>1249</v>
      </c>
      <c r="F1389" t="s">
        <v>18</v>
      </c>
      <c r="G1389" t="s">
        <v>83</v>
      </c>
      <c r="H1389">
        <v>0</v>
      </c>
      <c r="I1389">
        <v>2000</v>
      </c>
      <c r="J1389">
        <v>8</v>
      </c>
      <c r="K1389">
        <v>16000</v>
      </c>
      <c r="L1389">
        <v>0</v>
      </c>
      <c r="M1389">
        <v>16000</v>
      </c>
      <c r="O1389" t="s">
        <v>1098</v>
      </c>
    </row>
    <row r="1390" spans="1:15" x14ac:dyDescent="0.3">
      <c r="A1390" t="str">
        <f t="shared" si="21"/>
        <v>OPPW002533-R000-GREY</v>
      </c>
      <c r="B1390" t="s">
        <v>14</v>
      </c>
      <c r="C1390" t="s">
        <v>1250</v>
      </c>
      <c r="D1390" t="s">
        <v>1251</v>
      </c>
      <c r="E1390" t="s">
        <v>1252</v>
      </c>
      <c r="F1390" t="s">
        <v>18</v>
      </c>
      <c r="G1390" t="s">
        <v>22</v>
      </c>
      <c r="H1390">
        <v>0</v>
      </c>
      <c r="I1390">
        <v>1</v>
      </c>
      <c r="J1390">
        <v>180</v>
      </c>
      <c r="K1390">
        <v>180</v>
      </c>
      <c r="L1390">
        <v>0</v>
      </c>
      <c r="M1390">
        <v>180</v>
      </c>
      <c r="N1390" t="s">
        <v>1253</v>
      </c>
      <c r="O1390" t="s">
        <v>1098</v>
      </c>
    </row>
    <row r="1391" spans="1:15" x14ac:dyDescent="0.3">
      <c r="A1391" t="str">
        <f t="shared" si="21"/>
        <v>STCG000951-R000-XX</v>
      </c>
      <c r="B1391" t="s">
        <v>14</v>
      </c>
      <c r="C1391" t="s">
        <v>1254</v>
      </c>
      <c r="D1391" t="s">
        <v>16</v>
      </c>
      <c r="E1391" t="s">
        <v>1255</v>
      </c>
      <c r="F1391" t="s">
        <v>18</v>
      </c>
      <c r="G1391" t="s">
        <v>23</v>
      </c>
      <c r="H1391">
        <v>0</v>
      </c>
      <c r="I1391">
        <v>1500</v>
      </c>
      <c r="J1391">
        <v>40</v>
      </c>
      <c r="K1391">
        <v>60000</v>
      </c>
      <c r="L1391">
        <v>0</v>
      </c>
      <c r="M1391">
        <v>60000</v>
      </c>
      <c r="N1391" t="s">
        <v>1256</v>
      </c>
      <c r="O1391" t="s">
        <v>1098</v>
      </c>
    </row>
    <row r="1392" spans="1:15" x14ac:dyDescent="0.3">
      <c r="A1392" t="str">
        <f t="shared" si="21"/>
        <v>STCG000951-R000-XX</v>
      </c>
      <c r="B1392" t="s">
        <v>14</v>
      </c>
      <c r="C1392" t="s">
        <v>1254</v>
      </c>
      <c r="D1392" t="s">
        <v>16</v>
      </c>
      <c r="E1392" t="s">
        <v>1255</v>
      </c>
      <c r="F1392" t="s">
        <v>18</v>
      </c>
      <c r="G1392" t="s">
        <v>35</v>
      </c>
      <c r="H1392">
        <v>0</v>
      </c>
      <c r="I1392">
        <v>6000</v>
      </c>
      <c r="J1392">
        <v>40</v>
      </c>
      <c r="K1392">
        <v>240000</v>
      </c>
      <c r="L1392">
        <v>0</v>
      </c>
      <c r="M1392">
        <v>240000</v>
      </c>
      <c r="N1392" t="s">
        <v>1256</v>
      </c>
      <c r="O1392" t="s">
        <v>1098</v>
      </c>
    </row>
    <row r="1393" spans="1:15" x14ac:dyDescent="0.3">
      <c r="A1393" t="str">
        <f t="shared" si="21"/>
        <v>STCG001353-R000-ZN</v>
      </c>
      <c r="B1393" t="s">
        <v>14</v>
      </c>
      <c r="C1393" t="s">
        <v>1257</v>
      </c>
      <c r="D1393" t="s">
        <v>490</v>
      </c>
      <c r="E1393" t="s">
        <v>1258</v>
      </c>
      <c r="F1393" t="s">
        <v>18</v>
      </c>
      <c r="G1393" t="s">
        <v>68</v>
      </c>
      <c r="H1393">
        <v>0</v>
      </c>
      <c r="I1393">
        <v>200</v>
      </c>
      <c r="J1393">
        <v>200</v>
      </c>
      <c r="K1393">
        <v>40000</v>
      </c>
      <c r="L1393">
        <v>0</v>
      </c>
      <c r="M1393">
        <v>40000</v>
      </c>
      <c r="N1393" t="s">
        <v>1259</v>
      </c>
      <c r="O1393" t="s">
        <v>1098</v>
      </c>
    </row>
    <row r="1394" spans="1:15" x14ac:dyDescent="0.3">
      <c r="A1394" t="str">
        <f t="shared" si="21"/>
        <v>STCG001354-R000-ZN</v>
      </c>
      <c r="B1394" t="s">
        <v>14</v>
      </c>
      <c r="C1394" t="s">
        <v>1260</v>
      </c>
      <c r="D1394" t="s">
        <v>490</v>
      </c>
      <c r="E1394" t="s">
        <v>1261</v>
      </c>
      <c r="F1394" t="s">
        <v>18</v>
      </c>
      <c r="G1394" t="s">
        <v>83</v>
      </c>
      <c r="H1394">
        <v>0</v>
      </c>
      <c r="I1394">
        <v>400</v>
      </c>
      <c r="J1394">
        <v>130</v>
      </c>
      <c r="K1394">
        <v>52000</v>
      </c>
      <c r="L1394">
        <v>0</v>
      </c>
      <c r="M1394">
        <v>52000</v>
      </c>
      <c r="N1394" t="s">
        <v>1262</v>
      </c>
      <c r="O1394" t="s">
        <v>1098</v>
      </c>
    </row>
    <row r="1395" spans="1:15" x14ac:dyDescent="0.3">
      <c r="A1395" t="str">
        <f t="shared" si="21"/>
        <v>STCG001354-R000-ZN</v>
      </c>
      <c r="B1395" t="s">
        <v>14</v>
      </c>
      <c r="C1395" t="s">
        <v>1260</v>
      </c>
      <c r="D1395" t="s">
        <v>490</v>
      </c>
      <c r="E1395" t="s">
        <v>1261</v>
      </c>
      <c r="F1395" t="s">
        <v>18</v>
      </c>
      <c r="G1395" t="s">
        <v>424</v>
      </c>
      <c r="H1395">
        <v>0</v>
      </c>
      <c r="I1395">
        <v>2000</v>
      </c>
      <c r="J1395">
        <v>130</v>
      </c>
      <c r="K1395">
        <v>260000</v>
      </c>
      <c r="L1395">
        <v>0</v>
      </c>
      <c r="M1395">
        <v>260000</v>
      </c>
      <c r="N1395" t="s">
        <v>1262</v>
      </c>
      <c r="O1395" t="s">
        <v>1098</v>
      </c>
    </row>
    <row r="1396" spans="1:15" x14ac:dyDescent="0.3">
      <c r="A1396" t="str">
        <f t="shared" si="21"/>
        <v>STCG001354-R000-ZN</v>
      </c>
      <c r="B1396" t="s">
        <v>14</v>
      </c>
      <c r="C1396" t="s">
        <v>1260</v>
      </c>
      <c r="D1396" t="s">
        <v>490</v>
      </c>
      <c r="E1396" t="s">
        <v>1261</v>
      </c>
      <c r="F1396" t="s">
        <v>18</v>
      </c>
      <c r="G1396" t="s">
        <v>63</v>
      </c>
      <c r="H1396">
        <v>0</v>
      </c>
      <c r="I1396">
        <v>800</v>
      </c>
      <c r="J1396">
        <v>130</v>
      </c>
      <c r="K1396">
        <v>104000</v>
      </c>
      <c r="L1396">
        <v>0</v>
      </c>
      <c r="M1396">
        <v>104000</v>
      </c>
      <c r="N1396" t="s">
        <v>1262</v>
      </c>
      <c r="O1396" t="s">
        <v>1098</v>
      </c>
    </row>
    <row r="1397" spans="1:15" x14ac:dyDescent="0.3">
      <c r="A1397" t="str">
        <f t="shared" si="21"/>
        <v>STCG001358-R000-WW</v>
      </c>
      <c r="B1397" t="s">
        <v>14</v>
      </c>
      <c r="C1397" t="s">
        <v>1263</v>
      </c>
      <c r="D1397" t="s">
        <v>28</v>
      </c>
      <c r="E1397" t="s">
        <v>1264</v>
      </c>
      <c r="F1397" t="s">
        <v>18</v>
      </c>
      <c r="G1397" t="s">
        <v>23</v>
      </c>
      <c r="H1397">
        <v>0</v>
      </c>
      <c r="I1397">
        <v>1200</v>
      </c>
      <c r="J1397">
        <v>300</v>
      </c>
      <c r="K1397">
        <v>360000</v>
      </c>
      <c r="L1397">
        <v>0</v>
      </c>
      <c r="M1397">
        <v>360000</v>
      </c>
      <c r="O1397" t="s">
        <v>1098</v>
      </c>
    </row>
    <row r="1398" spans="1:15" x14ac:dyDescent="0.3">
      <c r="A1398" t="str">
        <f t="shared" si="21"/>
        <v>STCG001360-R000-ZN</v>
      </c>
      <c r="B1398" t="s">
        <v>14</v>
      </c>
      <c r="C1398" t="s">
        <v>1265</v>
      </c>
      <c r="D1398" t="s">
        <v>490</v>
      </c>
      <c r="E1398" t="s">
        <v>1266</v>
      </c>
      <c r="F1398" t="s">
        <v>18</v>
      </c>
      <c r="G1398" t="s">
        <v>63</v>
      </c>
      <c r="H1398">
        <v>0</v>
      </c>
      <c r="I1398">
        <v>400</v>
      </c>
      <c r="J1398">
        <v>110</v>
      </c>
      <c r="K1398">
        <v>44000</v>
      </c>
      <c r="L1398">
        <v>0</v>
      </c>
      <c r="M1398">
        <v>44000</v>
      </c>
      <c r="N1398" t="s">
        <v>1267</v>
      </c>
      <c r="O1398" t="s">
        <v>1098</v>
      </c>
    </row>
    <row r="1399" spans="1:15" x14ac:dyDescent="0.3">
      <c r="A1399" t="str">
        <f t="shared" si="21"/>
        <v>STCG001360-R000-ZN</v>
      </c>
      <c r="B1399" t="s">
        <v>14</v>
      </c>
      <c r="C1399" t="s">
        <v>1265</v>
      </c>
      <c r="D1399" t="s">
        <v>490</v>
      </c>
      <c r="E1399" t="s">
        <v>1266</v>
      </c>
      <c r="F1399" t="s">
        <v>18</v>
      </c>
      <c r="G1399" t="s">
        <v>22</v>
      </c>
      <c r="H1399">
        <v>0</v>
      </c>
      <c r="I1399">
        <v>1200</v>
      </c>
      <c r="J1399">
        <v>110</v>
      </c>
      <c r="K1399">
        <v>132000</v>
      </c>
      <c r="L1399">
        <v>0</v>
      </c>
      <c r="M1399">
        <v>132000</v>
      </c>
      <c r="N1399" t="s">
        <v>1267</v>
      </c>
      <c r="O1399" t="s">
        <v>1098</v>
      </c>
    </row>
    <row r="1400" spans="1:15" x14ac:dyDescent="0.3">
      <c r="A1400" t="str">
        <f t="shared" si="21"/>
        <v>STCG001361-R000-ZN</v>
      </c>
      <c r="B1400" t="s">
        <v>14</v>
      </c>
      <c r="C1400" t="s">
        <v>1268</v>
      </c>
      <c r="D1400" t="s">
        <v>490</v>
      </c>
      <c r="E1400" t="s">
        <v>1269</v>
      </c>
      <c r="F1400" t="s">
        <v>18</v>
      </c>
      <c r="G1400" t="s">
        <v>23</v>
      </c>
      <c r="H1400">
        <v>0</v>
      </c>
      <c r="I1400">
        <v>600</v>
      </c>
      <c r="J1400">
        <v>120</v>
      </c>
      <c r="K1400">
        <v>72000</v>
      </c>
      <c r="L1400">
        <v>0</v>
      </c>
      <c r="M1400">
        <v>72000</v>
      </c>
      <c r="N1400" t="s">
        <v>1270</v>
      </c>
      <c r="O1400" t="s">
        <v>1098</v>
      </c>
    </row>
    <row r="1401" spans="1:15" x14ac:dyDescent="0.3">
      <c r="A1401" t="str">
        <f t="shared" si="21"/>
        <v>STCG001361-R000-ZN</v>
      </c>
      <c r="B1401" t="s">
        <v>14</v>
      </c>
      <c r="C1401" t="s">
        <v>1268</v>
      </c>
      <c r="D1401" t="s">
        <v>490</v>
      </c>
      <c r="E1401" t="s">
        <v>1269</v>
      </c>
      <c r="F1401" t="s">
        <v>18</v>
      </c>
      <c r="G1401" t="s">
        <v>663</v>
      </c>
      <c r="H1401">
        <v>0</v>
      </c>
      <c r="I1401">
        <v>1800</v>
      </c>
      <c r="J1401">
        <v>120</v>
      </c>
      <c r="K1401">
        <v>216000</v>
      </c>
      <c r="L1401">
        <v>0</v>
      </c>
      <c r="M1401">
        <v>216000</v>
      </c>
      <c r="N1401" t="s">
        <v>1270</v>
      </c>
      <c r="O1401" t="s">
        <v>1098</v>
      </c>
    </row>
    <row r="1402" spans="1:15" x14ac:dyDescent="0.3">
      <c r="A1402" t="str">
        <f t="shared" si="21"/>
        <v>STCG001361-R000-ZN</v>
      </c>
      <c r="B1402" t="s">
        <v>14</v>
      </c>
      <c r="C1402" t="s">
        <v>1268</v>
      </c>
      <c r="D1402" t="s">
        <v>490</v>
      </c>
      <c r="E1402" t="s">
        <v>1269</v>
      </c>
      <c r="F1402" t="s">
        <v>18</v>
      </c>
      <c r="G1402" t="s">
        <v>29</v>
      </c>
      <c r="H1402">
        <v>0</v>
      </c>
      <c r="I1402">
        <v>800</v>
      </c>
      <c r="J1402">
        <v>120</v>
      </c>
      <c r="K1402">
        <v>96000</v>
      </c>
      <c r="L1402">
        <v>0</v>
      </c>
      <c r="M1402">
        <v>96000</v>
      </c>
      <c r="N1402" t="s">
        <v>1270</v>
      </c>
      <c r="O1402" t="s">
        <v>1098</v>
      </c>
    </row>
    <row r="1403" spans="1:15" x14ac:dyDescent="0.3">
      <c r="A1403" t="str">
        <f t="shared" si="21"/>
        <v>STCG001364-R000-ZN</v>
      </c>
      <c r="B1403" t="s">
        <v>14</v>
      </c>
      <c r="C1403" t="s">
        <v>1995</v>
      </c>
      <c r="D1403" t="s">
        <v>490</v>
      </c>
      <c r="E1403" t="s">
        <v>1996</v>
      </c>
      <c r="F1403" t="s">
        <v>18</v>
      </c>
      <c r="G1403" t="s">
        <v>35</v>
      </c>
      <c r="H1403">
        <v>0</v>
      </c>
      <c r="I1403">
        <v>200</v>
      </c>
      <c r="J1403">
        <v>220</v>
      </c>
      <c r="K1403">
        <v>44000</v>
      </c>
      <c r="L1403">
        <v>0</v>
      </c>
      <c r="M1403">
        <v>44000</v>
      </c>
      <c r="O1403" t="s">
        <v>1098</v>
      </c>
    </row>
    <row r="1404" spans="1:15" x14ac:dyDescent="0.3">
      <c r="A1404" t="str">
        <f t="shared" si="21"/>
        <v>W31-1H-455-XX</v>
      </c>
      <c r="B1404" t="s">
        <v>14</v>
      </c>
      <c r="C1404" t="s">
        <v>1997</v>
      </c>
      <c r="D1404" t="s">
        <v>16</v>
      </c>
      <c r="E1404" t="s">
        <v>1998</v>
      </c>
      <c r="F1404" t="s">
        <v>18</v>
      </c>
      <c r="G1404" t="s">
        <v>23</v>
      </c>
      <c r="H1404">
        <v>0</v>
      </c>
      <c r="I1404">
        <v>200</v>
      </c>
      <c r="J1404">
        <v>240</v>
      </c>
      <c r="K1404">
        <v>48000</v>
      </c>
      <c r="L1404">
        <v>0</v>
      </c>
      <c r="M1404">
        <v>48000</v>
      </c>
      <c r="N1404" t="s">
        <v>1999</v>
      </c>
      <c r="O1404" t="s">
        <v>1098</v>
      </c>
    </row>
    <row r="1405" spans="1:15" x14ac:dyDescent="0.3">
      <c r="A1405" t="str">
        <f t="shared" si="21"/>
        <v>W31-1H-603-SV</v>
      </c>
      <c r="B1405" t="s">
        <v>14</v>
      </c>
      <c r="C1405" t="s">
        <v>1271</v>
      </c>
      <c r="D1405" t="s">
        <v>173</v>
      </c>
      <c r="E1405" t="s">
        <v>1272</v>
      </c>
      <c r="F1405" t="s">
        <v>18</v>
      </c>
      <c r="G1405" t="s">
        <v>22</v>
      </c>
      <c r="H1405">
        <v>0</v>
      </c>
      <c r="I1405">
        <v>5</v>
      </c>
      <c r="J1405">
        <v>620</v>
      </c>
      <c r="K1405">
        <v>3100</v>
      </c>
      <c r="L1405">
        <v>0</v>
      </c>
      <c r="M1405">
        <v>3100</v>
      </c>
      <c r="N1405" t="s">
        <v>1273</v>
      </c>
      <c r="O1405" t="s">
        <v>1098</v>
      </c>
    </row>
    <row r="1406" spans="1:15" x14ac:dyDescent="0.3">
      <c r="A1406" t="str">
        <f t="shared" si="21"/>
        <v>W31-1H-604-SV</v>
      </c>
      <c r="B1406" t="s">
        <v>14</v>
      </c>
      <c r="C1406" t="s">
        <v>1274</v>
      </c>
      <c r="D1406" t="s">
        <v>173</v>
      </c>
      <c r="E1406" t="s">
        <v>1275</v>
      </c>
      <c r="F1406" t="s">
        <v>18</v>
      </c>
      <c r="G1406" t="s">
        <v>22</v>
      </c>
      <c r="H1406">
        <v>0</v>
      </c>
      <c r="I1406">
        <v>5</v>
      </c>
      <c r="J1406">
        <v>620</v>
      </c>
      <c r="K1406">
        <v>3100</v>
      </c>
      <c r="L1406">
        <v>0</v>
      </c>
      <c r="M1406">
        <v>3100</v>
      </c>
      <c r="N1406" t="s">
        <v>1276</v>
      </c>
      <c r="O1406" t="s">
        <v>1098</v>
      </c>
    </row>
    <row r="1407" spans="1:15" x14ac:dyDescent="0.3">
      <c r="A1407" t="str">
        <f t="shared" si="21"/>
        <v>W31-1S-282-NI</v>
      </c>
      <c r="B1407" t="s">
        <v>14</v>
      </c>
      <c r="C1407" t="s">
        <v>1277</v>
      </c>
      <c r="D1407" t="s">
        <v>67</v>
      </c>
      <c r="E1407" t="s">
        <v>1278</v>
      </c>
      <c r="F1407" t="s">
        <v>18</v>
      </c>
      <c r="G1407" t="s">
        <v>49</v>
      </c>
      <c r="H1407">
        <v>0</v>
      </c>
      <c r="I1407">
        <v>8000</v>
      </c>
      <c r="J1407">
        <v>7</v>
      </c>
      <c r="K1407">
        <v>56000</v>
      </c>
      <c r="L1407">
        <v>0</v>
      </c>
      <c r="M1407">
        <v>56000</v>
      </c>
      <c r="N1407" t="s">
        <v>1279</v>
      </c>
      <c r="O1407" t="s">
        <v>1098</v>
      </c>
    </row>
    <row r="1408" spans="1:15" x14ac:dyDescent="0.3">
      <c r="A1408" t="str">
        <f t="shared" si="21"/>
        <v>W31-1S-315-NI</v>
      </c>
      <c r="B1408" t="s">
        <v>14</v>
      </c>
      <c r="C1408" t="s">
        <v>1280</v>
      </c>
      <c r="D1408" t="s">
        <v>67</v>
      </c>
      <c r="E1408" t="s">
        <v>1281</v>
      </c>
      <c r="F1408" t="s">
        <v>18</v>
      </c>
      <c r="G1408" t="s">
        <v>29</v>
      </c>
      <c r="H1408">
        <v>0</v>
      </c>
      <c r="I1408">
        <v>12</v>
      </c>
      <c r="J1408">
        <v>41</v>
      </c>
      <c r="K1408">
        <v>492</v>
      </c>
      <c r="L1408">
        <v>0</v>
      </c>
      <c r="M1408">
        <v>492</v>
      </c>
      <c r="N1408" t="s">
        <v>1282</v>
      </c>
      <c r="O1408" t="s">
        <v>1098</v>
      </c>
    </row>
    <row r="1409" spans="1:15" x14ac:dyDescent="0.3">
      <c r="A1409" t="str">
        <f t="shared" si="21"/>
        <v>W32-1P-385-SV</v>
      </c>
      <c r="B1409" t="s">
        <v>14</v>
      </c>
      <c r="C1409" t="s">
        <v>2000</v>
      </c>
      <c r="D1409" t="s">
        <v>173</v>
      </c>
      <c r="E1409" t="s">
        <v>2001</v>
      </c>
      <c r="F1409" t="s">
        <v>18</v>
      </c>
      <c r="G1409" t="s">
        <v>29</v>
      </c>
      <c r="H1409">
        <v>0</v>
      </c>
      <c r="I1409">
        <v>10</v>
      </c>
      <c r="J1409">
        <v>1300</v>
      </c>
      <c r="K1409">
        <v>13000</v>
      </c>
      <c r="L1409">
        <v>0</v>
      </c>
      <c r="M1409">
        <v>13000</v>
      </c>
      <c r="N1409" t="s">
        <v>2002</v>
      </c>
      <c r="O1409" t="s">
        <v>1098</v>
      </c>
    </row>
    <row r="1410" spans="1:15" x14ac:dyDescent="0.3">
      <c r="A1410" t="str">
        <f t="shared" si="21"/>
        <v>W33-3I-303-GREY</v>
      </c>
      <c r="B1410" t="s">
        <v>14</v>
      </c>
      <c r="C1410" t="s">
        <v>2003</v>
      </c>
      <c r="D1410" t="s">
        <v>1251</v>
      </c>
      <c r="E1410" t="s">
        <v>2004</v>
      </c>
      <c r="F1410" t="s">
        <v>18</v>
      </c>
      <c r="G1410" t="s">
        <v>22</v>
      </c>
      <c r="H1410">
        <v>0</v>
      </c>
      <c r="I1410">
        <v>1</v>
      </c>
      <c r="J1410">
        <v>3350</v>
      </c>
      <c r="K1410">
        <v>3350</v>
      </c>
      <c r="L1410">
        <v>0</v>
      </c>
      <c r="M1410">
        <v>3350</v>
      </c>
      <c r="N1410" t="s">
        <v>2005</v>
      </c>
      <c r="O1410" t="s">
        <v>1098</v>
      </c>
    </row>
    <row r="1411" spans="1:15" x14ac:dyDescent="0.3">
      <c r="A1411" t="str">
        <f t="shared" ref="A1411:A1474" si="22">C1411&amp;"-"&amp;D1411</f>
        <v>ETCS000269-R000-XX</v>
      </c>
      <c r="B1411" t="s">
        <v>14</v>
      </c>
      <c r="C1411" t="s">
        <v>1284</v>
      </c>
      <c r="D1411" t="s">
        <v>16</v>
      </c>
      <c r="E1411" t="s">
        <v>1285</v>
      </c>
      <c r="F1411" t="s">
        <v>18</v>
      </c>
      <c r="G1411" t="s">
        <v>49</v>
      </c>
      <c r="H1411">
        <v>0</v>
      </c>
      <c r="I1411">
        <v>20000</v>
      </c>
      <c r="J1411">
        <v>10</v>
      </c>
      <c r="K1411">
        <v>200000</v>
      </c>
      <c r="L1411">
        <v>0</v>
      </c>
      <c r="M1411">
        <v>200000</v>
      </c>
      <c r="N1411" t="s">
        <v>1286</v>
      </c>
      <c r="O1411" t="s">
        <v>1283</v>
      </c>
    </row>
    <row r="1412" spans="1:15" x14ac:dyDescent="0.3">
      <c r="A1412" t="str">
        <f t="shared" si="22"/>
        <v>ETCS000269-R000-XX</v>
      </c>
      <c r="B1412" t="s">
        <v>14</v>
      </c>
      <c r="C1412" t="s">
        <v>1284</v>
      </c>
      <c r="D1412" t="s">
        <v>16</v>
      </c>
      <c r="E1412" t="s">
        <v>1285</v>
      </c>
      <c r="F1412" t="s">
        <v>18</v>
      </c>
      <c r="G1412" t="s">
        <v>19</v>
      </c>
      <c r="H1412">
        <v>0</v>
      </c>
      <c r="I1412">
        <v>10000</v>
      </c>
      <c r="J1412">
        <v>10</v>
      </c>
      <c r="K1412">
        <v>100000</v>
      </c>
      <c r="L1412">
        <v>0</v>
      </c>
      <c r="M1412">
        <v>100000</v>
      </c>
      <c r="N1412" t="s">
        <v>1286</v>
      </c>
      <c r="O1412" t="s">
        <v>1283</v>
      </c>
    </row>
    <row r="1413" spans="1:15" x14ac:dyDescent="0.3">
      <c r="A1413" t="str">
        <f t="shared" si="22"/>
        <v>ETCS000269-R000-XX</v>
      </c>
      <c r="B1413" t="s">
        <v>14</v>
      </c>
      <c r="C1413" t="s">
        <v>1284</v>
      </c>
      <c r="D1413" t="s">
        <v>16</v>
      </c>
      <c r="E1413" t="s">
        <v>1285</v>
      </c>
      <c r="F1413" t="s">
        <v>18</v>
      </c>
      <c r="G1413" t="s">
        <v>111</v>
      </c>
      <c r="H1413">
        <v>0</v>
      </c>
      <c r="I1413">
        <v>4000</v>
      </c>
      <c r="J1413">
        <v>10</v>
      </c>
      <c r="K1413">
        <v>40000</v>
      </c>
      <c r="L1413">
        <v>0</v>
      </c>
      <c r="M1413">
        <v>40000</v>
      </c>
      <c r="N1413" t="s">
        <v>1286</v>
      </c>
      <c r="O1413" t="s">
        <v>1283</v>
      </c>
    </row>
    <row r="1414" spans="1:15" x14ac:dyDescent="0.3">
      <c r="A1414" t="str">
        <f t="shared" si="22"/>
        <v>ETCS000269-R000-XX</v>
      </c>
      <c r="B1414" t="s">
        <v>14</v>
      </c>
      <c r="C1414" t="s">
        <v>1284</v>
      </c>
      <c r="D1414" t="s">
        <v>16</v>
      </c>
      <c r="E1414" t="s">
        <v>1285</v>
      </c>
      <c r="F1414" t="s">
        <v>18</v>
      </c>
      <c r="G1414" t="s">
        <v>29</v>
      </c>
      <c r="H1414">
        <v>0</v>
      </c>
      <c r="I1414">
        <v>2</v>
      </c>
      <c r="J1414">
        <v>10</v>
      </c>
      <c r="K1414">
        <v>20</v>
      </c>
      <c r="L1414">
        <v>0</v>
      </c>
      <c r="M1414">
        <v>20</v>
      </c>
      <c r="N1414" t="s">
        <v>1286</v>
      </c>
      <c r="O1414" t="s">
        <v>1283</v>
      </c>
    </row>
    <row r="1415" spans="1:15" x14ac:dyDescent="0.3">
      <c r="A1415" t="str">
        <f t="shared" si="22"/>
        <v>ETCS000270-R000-XX</v>
      </c>
      <c r="B1415" t="s">
        <v>14</v>
      </c>
      <c r="C1415" t="s">
        <v>1287</v>
      </c>
      <c r="D1415" t="s">
        <v>16</v>
      </c>
      <c r="E1415" t="s">
        <v>1288</v>
      </c>
      <c r="F1415" t="s">
        <v>18</v>
      </c>
      <c r="G1415" t="s">
        <v>23</v>
      </c>
      <c r="H1415">
        <v>0</v>
      </c>
      <c r="I1415">
        <v>1500</v>
      </c>
      <c r="J1415">
        <v>6</v>
      </c>
      <c r="K1415">
        <v>9000</v>
      </c>
      <c r="L1415">
        <v>0</v>
      </c>
      <c r="M1415">
        <v>9000</v>
      </c>
      <c r="N1415" t="s">
        <v>1289</v>
      </c>
      <c r="O1415" t="s">
        <v>1283</v>
      </c>
    </row>
    <row r="1416" spans="1:15" x14ac:dyDescent="0.3">
      <c r="A1416" t="str">
        <f t="shared" si="22"/>
        <v>ETCS000270-R000-XX</v>
      </c>
      <c r="B1416" t="s">
        <v>14</v>
      </c>
      <c r="C1416" t="s">
        <v>1287</v>
      </c>
      <c r="D1416" t="s">
        <v>16</v>
      </c>
      <c r="E1416" t="s">
        <v>1288</v>
      </c>
      <c r="F1416" t="s">
        <v>18</v>
      </c>
      <c r="G1416" t="s">
        <v>49</v>
      </c>
      <c r="H1416">
        <v>0</v>
      </c>
      <c r="I1416">
        <v>10000</v>
      </c>
      <c r="J1416">
        <v>6</v>
      </c>
      <c r="K1416">
        <v>60000</v>
      </c>
      <c r="L1416">
        <v>0</v>
      </c>
      <c r="M1416">
        <v>60000</v>
      </c>
      <c r="N1416" t="s">
        <v>1289</v>
      </c>
      <c r="O1416" t="s">
        <v>1283</v>
      </c>
    </row>
    <row r="1417" spans="1:15" x14ac:dyDescent="0.3">
      <c r="A1417" t="str">
        <f t="shared" si="22"/>
        <v>ETCS000270-R000-XX</v>
      </c>
      <c r="B1417" t="s">
        <v>14</v>
      </c>
      <c r="C1417" t="s">
        <v>1287</v>
      </c>
      <c r="D1417" t="s">
        <v>16</v>
      </c>
      <c r="E1417" t="s">
        <v>1288</v>
      </c>
      <c r="F1417" t="s">
        <v>18</v>
      </c>
      <c r="G1417" t="s">
        <v>63</v>
      </c>
      <c r="H1417">
        <v>0</v>
      </c>
      <c r="I1417">
        <v>25000</v>
      </c>
      <c r="J1417">
        <v>6</v>
      </c>
      <c r="K1417">
        <v>150000</v>
      </c>
      <c r="L1417">
        <v>0</v>
      </c>
      <c r="M1417">
        <v>150000</v>
      </c>
      <c r="N1417" t="s">
        <v>1289</v>
      </c>
      <c r="O1417" t="s">
        <v>1283</v>
      </c>
    </row>
    <row r="1418" spans="1:15" x14ac:dyDescent="0.3">
      <c r="A1418" t="str">
        <f t="shared" si="22"/>
        <v>ETCS000274-R000-CLS</v>
      </c>
      <c r="B1418" t="s">
        <v>14</v>
      </c>
      <c r="C1418" t="s">
        <v>1290</v>
      </c>
      <c r="D1418" t="s">
        <v>40</v>
      </c>
      <c r="E1418" t="s">
        <v>2006</v>
      </c>
      <c r="F1418" t="s">
        <v>18</v>
      </c>
      <c r="G1418" t="s">
        <v>1292</v>
      </c>
      <c r="H1418">
        <v>0</v>
      </c>
      <c r="I1418">
        <v>3000</v>
      </c>
      <c r="J1418">
        <v>13</v>
      </c>
      <c r="K1418">
        <v>39000</v>
      </c>
      <c r="L1418">
        <v>0</v>
      </c>
      <c r="M1418">
        <v>39000</v>
      </c>
      <c r="N1418" t="s">
        <v>1291</v>
      </c>
      <c r="O1418" t="s">
        <v>1283</v>
      </c>
    </row>
    <row r="1419" spans="1:15" x14ac:dyDescent="0.3">
      <c r="A1419" t="str">
        <f t="shared" si="22"/>
        <v>ETCS000274-R000-CLS</v>
      </c>
      <c r="B1419" t="s">
        <v>14</v>
      </c>
      <c r="C1419" t="s">
        <v>1290</v>
      </c>
      <c r="D1419" t="s">
        <v>40</v>
      </c>
      <c r="E1419" t="s">
        <v>2006</v>
      </c>
      <c r="F1419" t="s">
        <v>18</v>
      </c>
      <c r="G1419" t="s">
        <v>23</v>
      </c>
      <c r="H1419">
        <v>0</v>
      </c>
      <c r="I1419">
        <v>15000</v>
      </c>
      <c r="J1419">
        <v>14</v>
      </c>
      <c r="K1419">
        <v>210000</v>
      </c>
      <c r="L1419">
        <v>0</v>
      </c>
      <c r="M1419">
        <v>210000</v>
      </c>
      <c r="N1419" t="s">
        <v>1291</v>
      </c>
      <c r="O1419" t="s">
        <v>1283</v>
      </c>
    </row>
    <row r="1420" spans="1:15" x14ac:dyDescent="0.3">
      <c r="A1420" t="str">
        <f t="shared" si="22"/>
        <v>ETCS000274-R000-CLS</v>
      </c>
      <c r="B1420" t="s">
        <v>14</v>
      </c>
      <c r="C1420" t="s">
        <v>1290</v>
      </c>
      <c r="D1420" t="s">
        <v>40</v>
      </c>
      <c r="E1420" t="s">
        <v>2006</v>
      </c>
      <c r="F1420" t="s">
        <v>18</v>
      </c>
      <c r="G1420" t="s">
        <v>1677</v>
      </c>
      <c r="H1420">
        <v>0</v>
      </c>
      <c r="I1420">
        <v>3000</v>
      </c>
      <c r="J1420">
        <v>12</v>
      </c>
      <c r="K1420">
        <v>36000</v>
      </c>
      <c r="L1420">
        <v>0</v>
      </c>
      <c r="M1420">
        <v>36000</v>
      </c>
      <c r="N1420" t="s">
        <v>1291</v>
      </c>
      <c r="O1420" t="s">
        <v>1283</v>
      </c>
    </row>
    <row r="1421" spans="1:15" x14ac:dyDescent="0.3">
      <c r="A1421" t="str">
        <f t="shared" si="22"/>
        <v>ETCS000274-R000-CLS</v>
      </c>
      <c r="B1421" t="s">
        <v>14</v>
      </c>
      <c r="C1421" t="s">
        <v>1290</v>
      </c>
      <c r="D1421" t="s">
        <v>40</v>
      </c>
      <c r="E1421" t="s">
        <v>2006</v>
      </c>
      <c r="F1421" t="s">
        <v>18</v>
      </c>
      <c r="G1421" t="s">
        <v>119</v>
      </c>
      <c r="H1421">
        <v>0</v>
      </c>
      <c r="I1421">
        <v>30000</v>
      </c>
      <c r="J1421">
        <v>14</v>
      </c>
      <c r="K1421">
        <v>420000</v>
      </c>
      <c r="L1421">
        <v>0</v>
      </c>
      <c r="M1421">
        <v>420000</v>
      </c>
      <c r="N1421" t="s">
        <v>1291</v>
      </c>
      <c r="O1421" t="s">
        <v>1283</v>
      </c>
    </row>
    <row r="1422" spans="1:15" x14ac:dyDescent="0.3">
      <c r="A1422" t="str">
        <f t="shared" si="22"/>
        <v>ETCS000274-R000-CLS</v>
      </c>
      <c r="B1422" t="s">
        <v>14</v>
      </c>
      <c r="C1422" t="s">
        <v>1290</v>
      </c>
      <c r="D1422" t="s">
        <v>40</v>
      </c>
      <c r="E1422" t="s">
        <v>2006</v>
      </c>
      <c r="F1422" t="s">
        <v>18</v>
      </c>
      <c r="G1422" t="s">
        <v>22</v>
      </c>
      <c r="H1422">
        <v>0</v>
      </c>
      <c r="I1422">
        <v>3000</v>
      </c>
      <c r="J1422">
        <v>12</v>
      </c>
      <c r="K1422">
        <v>36000</v>
      </c>
      <c r="L1422">
        <v>0</v>
      </c>
      <c r="M1422">
        <v>36000</v>
      </c>
      <c r="N1422" t="s">
        <v>1291</v>
      </c>
      <c r="O1422" t="s">
        <v>1283</v>
      </c>
    </row>
    <row r="1423" spans="1:15" x14ac:dyDescent="0.3">
      <c r="A1423" t="str">
        <f t="shared" si="22"/>
        <v>OPCMRA0000004-XX</v>
      </c>
      <c r="B1423" t="s">
        <v>14</v>
      </c>
      <c r="C1423" t="s">
        <v>1293</v>
      </c>
      <c r="D1423" t="s">
        <v>16</v>
      </c>
      <c r="E1423" t="s">
        <v>1294</v>
      </c>
      <c r="F1423" t="s">
        <v>18</v>
      </c>
      <c r="G1423" t="s">
        <v>246</v>
      </c>
      <c r="H1423">
        <v>0</v>
      </c>
      <c r="I1423">
        <v>200</v>
      </c>
      <c r="J1423">
        <v>2890</v>
      </c>
      <c r="K1423">
        <v>578000</v>
      </c>
      <c r="L1423">
        <v>0</v>
      </c>
      <c r="M1423">
        <v>578000</v>
      </c>
      <c r="N1423" t="s">
        <v>1295</v>
      </c>
      <c r="O1423" t="s">
        <v>1283</v>
      </c>
    </row>
    <row r="1424" spans="1:15" x14ac:dyDescent="0.3">
      <c r="A1424" t="str">
        <f t="shared" si="22"/>
        <v>OPCMRA0000004-XX</v>
      </c>
      <c r="B1424" t="s">
        <v>14</v>
      </c>
      <c r="C1424" t="s">
        <v>1293</v>
      </c>
      <c r="D1424" t="s">
        <v>16</v>
      </c>
      <c r="E1424" t="s">
        <v>1294</v>
      </c>
      <c r="F1424" t="s">
        <v>18</v>
      </c>
      <c r="G1424" t="s">
        <v>35</v>
      </c>
      <c r="H1424">
        <v>0</v>
      </c>
      <c r="I1424">
        <v>600</v>
      </c>
      <c r="J1424">
        <v>2890</v>
      </c>
      <c r="K1424">
        <v>1734000</v>
      </c>
      <c r="L1424">
        <v>0</v>
      </c>
      <c r="M1424">
        <v>1734000</v>
      </c>
      <c r="N1424" t="s">
        <v>1295</v>
      </c>
      <c r="O1424" t="s">
        <v>1283</v>
      </c>
    </row>
    <row r="1425" spans="1:15" x14ac:dyDescent="0.3">
      <c r="A1425" t="str">
        <f t="shared" si="22"/>
        <v>OPFW001782-R000-XX</v>
      </c>
      <c r="B1425" t="s">
        <v>14</v>
      </c>
      <c r="C1425" t="s">
        <v>1296</v>
      </c>
      <c r="D1425" t="s">
        <v>16</v>
      </c>
      <c r="E1425" t="s">
        <v>1297</v>
      </c>
      <c r="F1425" t="s">
        <v>18</v>
      </c>
      <c r="G1425" t="s">
        <v>19</v>
      </c>
      <c r="H1425">
        <v>0</v>
      </c>
      <c r="I1425">
        <v>480</v>
      </c>
      <c r="J1425">
        <v>300</v>
      </c>
      <c r="K1425">
        <v>144000</v>
      </c>
      <c r="L1425">
        <v>0</v>
      </c>
      <c r="M1425">
        <v>144000</v>
      </c>
      <c r="N1425" t="s">
        <v>1298</v>
      </c>
      <c r="O1425" t="s">
        <v>1283</v>
      </c>
    </row>
    <row r="1426" spans="1:15" x14ac:dyDescent="0.3">
      <c r="A1426" t="str">
        <f t="shared" si="22"/>
        <v>OPFW001782-R000-XX</v>
      </c>
      <c r="B1426" t="s">
        <v>14</v>
      </c>
      <c r="C1426" t="s">
        <v>1296</v>
      </c>
      <c r="D1426" t="s">
        <v>16</v>
      </c>
      <c r="E1426" t="s">
        <v>1297</v>
      </c>
      <c r="F1426" t="s">
        <v>18</v>
      </c>
      <c r="G1426" t="s">
        <v>35</v>
      </c>
      <c r="H1426">
        <v>0</v>
      </c>
      <c r="I1426">
        <v>384</v>
      </c>
      <c r="J1426">
        <v>300</v>
      </c>
      <c r="K1426">
        <v>115200</v>
      </c>
      <c r="L1426">
        <v>0</v>
      </c>
      <c r="M1426">
        <v>115200</v>
      </c>
      <c r="N1426" t="s">
        <v>1298</v>
      </c>
      <c r="O1426" t="s">
        <v>1283</v>
      </c>
    </row>
    <row r="1427" spans="1:15" x14ac:dyDescent="0.3">
      <c r="A1427" t="str">
        <f t="shared" si="22"/>
        <v>PPGW000600-R000-XX</v>
      </c>
      <c r="B1427" t="s">
        <v>14</v>
      </c>
      <c r="C1427" t="s">
        <v>1299</v>
      </c>
      <c r="D1427" t="s">
        <v>16</v>
      </c>
      <c r="E1427" t="s">
        <v>1300</v>
      </c>
      <c r="F1427" t="s">
        <v>18</v>
      </c>
      <c r="G1427" t="s">
        <v>19</v>
      </c>
      <c r="H1427">
        <v>0</v>
      </c>
      <c r="I1427">
        <v>1600</v>
      </c>
      <c r="J1427">
        <v>23</v>
      </c>
      <c r="K1427">
        <v>36800</v>
      </c>
      <c r="L1427">
        <v>0</v>
      </c>
      <c r="M1427">
        <v>36800</v>
      </c>
      <c r="N1427" t="s">
        <v>1301</v>
      </c>
      <c r="O1427" t="s">
        <v>1283</v>
      </c>
    </row>
    <row r="1428" spans="1:15" x14ac:dyDescent="0.3">
      <c r="A1428" t="str">
        <f t="shared" si="22"/>
        <v>PPGW000600-R000-XX</v>
      </c>
      <c r="B1428" t="s">
        <v>14</v>
      </c>
      <c r="C1428" t="s">
        <v>1299</v>
      </c>
      <c r="D1428" t="s">
        <v>16</v>
      </c>
      <c r="E1428" t="s">
        <v>1300</v>
      </c>
      <c r="F1428" t="s">
        <v>18</v>
      </c>
      <c r="G1428" t="s">
        <v>35</v>
      </c>
      <c r="H1428">
        <v>0</v>
      </c>
      <c r="I1428">
        <v>800</v>
      </c>
      <c r="J1428">
        <v>23</v>
      </c>
      <c r="K1428">
        <v>18400</v>
      </c>
      <c r="L1428">
        <v>0</v>
      </c>
      <c r="M1428">
        <v>18400</v>
      </c>
      <c r="N1428" t="s">
        <v>1301</v>
      </c>
      <c r="O1428" t="s">
        <v>1283</v>
      </c>
    </row>
    <row r="1429" spans="1:15" x14ac:dyDescent="0.3">
      <c r="A1429" t="str">
        <f t="shared" si="22"/>
        <v>PPGW000792-R000-XX</v>
      </c>
      <c r="B1429" t="s">
        <v>14</v>
      </c>
      <c r="C1429" t="s">
        <v>1302</v>
      </c>
      <c r="D1429" t="s">
        <v>16</v>
      </c>
      <c r="E1429" t="s">
        <v>1303</v>
      </c>
      <c r="F1429" t="s">
        <v>18</v>
      </c>
      <c r="G1429" t="s">
        <v>49</v>
      </c>
      <c r="H1429">
        <v>0</v>
      </c>
      <c r="I1429">
        <v>23000</v>
      </c>
      <c r="J1429">
        <v>18</v>
      </c>
      <c r="K1429">
        <v>414000</v>
      </c>
      <c r="L1429">
        <v>0</v>
      </c>
      <c r="M1429">
        <v>414000</v>
      </c>
      <c r="O1429" t="s">
        <v>1283</v>
      </c>
    </row>
    <row r="1430" spans="1:15" x14ac:dyDescent="0.3">
      <c r="A1430" t="str">
        <f t="shared" si="22"/>
        <v>PPGW000792-R000-XX</v>
      </c>
      <c r="B1430" t="s">
        <v>14</v>
      </c>
      <c r="C1430" t="s">
        <v>1302</v>
      </c>
      <c r="D1430" t="s">
        <v>16</v>
      </c>
      <c r="E1430" t="s">
        <v>1303</v>
      </c>
      <c r="F1430" t="s">
        <v>18</v>
      </c>
      <c r="G1430" t="s">
        <v>63</v>
      </c>
      <c r="H1430">
        <v>0</v>
      </c>
      <c r="I1430">
        <v>5000</v>
      </c>
      <c r="J1430">
        <v>18</v>
      </c>
      <c r="K1430">
        <v>90000</v>
      </c>
      <c r="L1430">
        <v>0</v>
      </c>
      <c r="M1430">
        <v>90000</v>
      </c>
      <c r="O1430" t="s">
        <v>1283</v>
      </c>
    </row>
    <row r="1431" spans="1:15" x14ac:dyDescent="0.3">
      <c r="A1431" t="str">
        <f t="shared" si="22"/>
        <v>PPGW000792-R000-XX</v>
      </c>
      <c r="B1431" t="s">
        <v>14</v>
      </c>
      <c r="C1431" t="s">
        <v>1302</v>
      </c>
      <c r="D1431" t="s">
        <v>16</v>
      </c>
      <c r="E1431" t="s">
        <v>1303</v>
      </c>
      <c r="F1431" t="s">
        <v>18</v>
      </c>
      <c r="G1431" t="s">
        <v>83</v>
      </c>
      <c r="H1431">
        <v>0</v>
      </c>
      <c r="I1431">
        <v>5000</v>
      </c>
      <c r="J1431">
        <v>18</v>
      </c>
      <c r="K1431">
        <v>90000</v>
      </c>
      <c r="L1431">
        <v>0</v>
      </c>
      <c r="M1431">
        <v>90000</v>
      </c>
      <c r="O1431" t="s">
        <v>1283</v>
      </c>
    </row>
    <row r="1432" spans="1:15" x14ac:dyDescent="0.3">
      <c r="A1432" t="str">
        <f t="shared" si="22"/>
        <v>PPGW000792-R000-XX</v>
      </c>
      <c r="B1432" t="s">
        <v>14</v>
      </c>
      <c r="C1432" t="s">
        <v>1302</v>
      </c>
      <c r="D1432" t="s">
        <v>16</v>
      </c>
      <c r="E1432" t="s">
        <v>1303</v>
      </c>
      <c r="F1432" t="s">
        <v>18</v>
      </c>
      <c r="G1432" t="s">
        <v>19</v>
      </c>
      <c r="H1432">
        <v>0</v>
      </c>
      <c r="I1432">
        <v>4000</v>
      </c>
      <c r="J1432">
        <v>18</v>
      </c>
      <c r="K1432">
        <v>72000</v>
      </c>
      <c r="L1432">
        <v>0</v>
      </c>
      <c r="M1432">
        <v>72000</v>
      </c>
      <c r="O1432" t="s">
        <v>1283</v>
      </c>
    </row>
    <row r="1433" spans="1:15" x14ac:dyDescent="0.3">
      <c r="A1433" t="str">
        <f t="shared" si="22"/>
        <v>PPGW000792-R000-XX</v>
      </c>
      <c r="B1433" t="s">
        <v>14</v>
      </c>
      <c r="C1433" t="s">
        <v>1302</v>
      </c>
      <c r="D1433" t="s">
        <v>16</v>
      </c>
      <c r="E1433" t="s">
        <v>1303</v>
      </c>
      <c r="F1433" t="s">
        <v>18</v>
      </c>
      <c r="G1433" t="s">
        <v>35</v>
      </c>
      <c r="H1433">
        <v>0</v>
      </c>
      <c r="I1433">
        <v>24000</v>
      </c>
      <c r="J1433">
        <v>18</v>
      </c>
      <c r="K1433">
        <v>432000</v>
      </c>
      <c r="L1433">
        <v>0</v>
      </c>
      <c r="M1433">
        <v>432000</v>
      </c>
      <c r="O1433" t="s">
        <v>1283</v>
      </c>
    </row>
    <row r="1434" spans="1:15" x14ac:dyDescent="0.3">
      <c r="A1434" t="str">
        <f t="shared" si="22"/>
        <v>PPGW000792-R000-XX</v>
      </c>
      <c r="B1434" t="s">
        <v>14</v>
      </c>
      <c r="C1434" t="s">
        <v>1302</v>
      </c>
      <c r="D1434" t="s">
        <v>16</v>
      </c>
      <c r="E1434" t="s">
        <v>1303</v>
      </c>
      <c r="F1434" t="s">
        <v>18</v>
      </c>
      <c r="G1434" t="s">
        <v>61</v>
      </c>
      <c r="H1434">
        <v>0</v>
      </c>
      <c r="I1434">
        <v>0</v>
      </c>
      <c r="J1434">
        <v>18</v>
      </c>
      <c r="K1434">
        <v>0</v>
      </c>
      <c r="L1434">
        <v>0</v>
      </c>
      <c r="M1434">
        <v>0</v>
      </c>
      <c r="O1434" t="s">
        <v>1283</v>
      </c>
    </row>
    <row r="1435" spans="1:15" x14ac:dyDescent="0.3">
      <c r="A1435" t="str">
        <f t="shared" si="22"/>
        <v>PPGW000804-R000-SP</v>
      </c>
      <c r="B1435" t="s">
        <v>14</v>
      </c>
      <c r="C1435" t="s">
        <v>1304</v>
      </c>
      <c r="D1435" t="s">
        <v>201</v>
      </c>
      <c r="E1435" t="s">
        <v>1305</v>
      </c>
      <c r="F1435" t="s">
        <v>18</v>
      </c>
      <c r="G1435" t="s">
        <v>35</v>
      </c>
      <c r="H1435">
        <v>0</v>
      </c>
      <c r="I1435">
        <v>900</v>
      </c>
      <c r="J1435">
        <v>12</v>
      </c>
      <c r="K1435">
        <v>10800</v>
      </c>
      <c r="L1435">
        <v>0</v>
      </c>
      <c r="M1435">
        <v>10800</v>
      </c>
      <c r="N1435" t="s">
        <v>1306</v>
      </c>
      <c r="O1435" t="s">
        <v>1283</v>
      </c>
    </row>
    <row r="1436" spans="1:15" x14ac:dyDescent="0.3">
      <c r="A1436" t="str">
        <f t="shared" si="22"/>
        <v>PPGW000813-R000-XX</v>
      </c>
      <c r="B1436" t="s">
        <v>14</v>
      </c>
      <c r="C1436" t="s">
        <v>1307</v>
      </c>
      <c r="D1436" t="s">
        <v>16</v>
      </c>
      <c r="E1436" t="s">
        <v>1308</v>
      </c>
      <c r="F1436" t="s">
        <v>18</v>
      </c>
      <c r="G1436" t="s">
        <v>35</v>
      </c>
      <c r="H1436">
        <v>0</v>
      </c>
      <c r="I1436">
        <v>1200</v>
      </c>
      <c r="J1436">
        <v>16</v>
      </c>
      <c r="K1436">
        <v>19200</v>
      </c>
      <c r="L1436">
        <v>0</v>
      </c>
      <c r="M1436">
        <v>19200</v>
      </c>
      <c r="N1436" t="s">
        <v>1309</v>
      </c>
      <c r="O1436" t="s">
        <v>1283</v>
      </c>
    </row>
    <row r="1437" spans="1:15" x14ac:dyDescent="0.3">
      <c r="A1437" t="str">
        <f t="shared" si="22"/>
        <v>PPGW000817-R000-XX</v>
      </c>
      <c r="B1437" t="s">
        <v>14</v>
      </c>
      <c r="C1437" t="s">
        <v>1310</v>
      </c>
      <c r="D1437" t="s">
        <v>16</v>
      </c>
      <c r="E1437" t="s">
        <v>1311</v>
      </c>
      <c r="F1437" t="s">
        <v>18</v>
      </c>
      <c r="G1437" t="s">
        <v>35</v>
      </c>
      <c r="H1437">
        <v>0</v>
      </c>
      <c r="I1437">
        <v>5600</v>
      </c>
      <c r="J1437">
        <v>34</v>
      </c>
      <c r="K1437">
        <v>190400</v>
      </c>
      <c r="L1437">
        <v>0</v>
      </c>
      <c r="M1437">
        <v>190400</v>
      </c>
      <c r="N1437" t="s">
        <v>1312</v>
      </c>
      <c r="O1437" t="s">
        <v>1283</v>
      </c>
    </row>
    <row r="1438" spans="1:15" x14ac:dyDescent="0.3">
      <c r="A1438" t="str">
        <f t="shared" si="22"/>
        <v>PPGW000817-R000-XX</v>
      </c>
      <c r="B1438" t="s">
        <v>14</v>
      </c>
      <c r="C1438" t="s">
        <v>1310</v>
      </c>
      <c r="D1438" t="s">
        <v>16</v>
      </c>
      <c r="E1438" t="s">
        <v>1311</v>
      </c>
      <c r="F1438" t="s">
        <v>18</v>
      </c>
      <c r="G1438" t="s">
        <v>210</v>
      </c>
      <c r="H1438">
        <v>0</v>
      </c>
      <c r="I1438">
        <v>3200</v>
      </c>
      <c r="J1438">
        <v>34</v>
      </c>
      <c r="K1438">
        <v>108800</v>
      </c>
      <c r="L1438">
        <v>0</v>
      </c>
      <c r="M1438">
        <v>108800</v>
      </c>
      <c r="N1438" t="s">
        <v>1312</v>
      </c>
      <c r="O1438" t="s">
        <v>1283</v>
      </c>
    </row>
    <row r="1439" spans="1:15" x14ac:dyDescent="0.3">
      <c r="A1439" t="str">
        <f t="shared" si="22"/>
        <v>PPGW000829-R000-XX</v>
      </c>
      <c r="B1439" t="s">
        <v>14</v>
      </c>
      <c r="C1439" t="s">
        <v>1313</v>
      </c>
      <c r="D1439" t="s">
        <v>16</v>
      </c>
      <c r="E1439" t="s">
        <v>1314</v>
      </c>
      <c r="F1439" t="s">
        <v>18</v>
      </c>
      <c r="G1439" t="s">
        <v>35</v>
      </c>
      <c r="H1439">
        <v>0</v>
      </c>
      <c r="I1439">
        <v>1000</v>
      </c>
      <c r="J1439">
        <v>23</v>
      </c>
      <c r="K1439">
        <v>23000</v>
      </c>
      <c r="L1439">
        <v>0</v>
      </c>
      <c r="M1439">
        <v>23000</v>
      </c>
      <c r="N1439" t="s">
        <v>1315</v>
      </c>
      <c r="O1439" t="s">
        <v>1283</v>
      </c>
    </row>
    <row r="1440" spans="1:15" x14ac:dyDescent="0.3">
      <c r="A1440" t="str">
        <f t="shared" si="22"/>
        <v>PPGW001032-R000-XX</v>
      </c>
      <c r="B1440" t="s">
        <v>14</v>
      </c>
      <c r="C1440" t="s">
        <v>1316</v>
      </c>
      <c r="D1440" t="s">
        <v>16</v>
      </c>
      <c r="E1440" t="s">
        <v>1317</v>
      </c>
      <c r="F1440" t="s">
        <v>18</v>
      </c>
      <c r="G1440" t="s">
        <v>49</v>
      </c>
      <c r="H1440">
        <v>0</v>
      </c>
      <c r="I1440">
        <v>91000</v>
      </c>
      <c r="J1440">
        <v>6</v>
      </c>
      <c r="K1440">
        <v>546000</v>
      </c>
      <c r="L1440">
        <v>0</v>
      </c>
      <c r="M1440">
        <v>546000</v>
      </c>
      <c r="N1440" t="s">
        <v>1318</v>
      </c>
      <c r="O1440" t="s">
        <v>1283</v>
      </c>
    </row>
    <row r="1441" spans="1:15" x14ac:dyDescent="0.3">
      <c r="A1441" t="str">
        <f t="shared" si="22"/>
        <v>PPGW001032-R000-XX</v>
      </c>
      <c r="B1441" t="s">
        <v>14</v>
      </c>
      <c r="C1441" t="s">
        <v>1316</v>
      </c>
      <c r="D1441" t="s">
        <v>16</v>
      </c>
      <c r="E1441" t="s">
        <v>1317</v>
      </c>
      <c r="F1441" t="s">
        <v>18</v>
      </c>
      <c r="G1441" t="s">
        <v>111</v>
      </c>
      <c r="H1441">
        <v>0</v>
      </c>
      <c r="I1441">
        <v>14000</v>
      </c>
      <c r="J1441">
        <v>6</v>
      </c>
      <c r="K1441">
        <v>84000</v>
      </c>
      <c r="L1441">
        <v>0</v>
      </c>
      <c r="M1441">
        <v>84000</v>
      </c>
      <c r="N1441" t="s">
        <v>1318</v>
      </c>
      <c r="O1441" t="s">
        <v>1283</v>
      </c>
    </row>
    <row r="1442" spans="1:15" x14ac:dyDescent="0.3">
      <c r="A1442" t="str">
        <f t="shared" si="22"/>
        <v>PPGW001032-R000-XX</v>
      </c>
      <c r="B1442" t="s">
        <v>14</v>
      </c>
      <c r="C1442" t="s">
        <v>1316</v>
      </c>
      <c r="D1442" t="s">
        <v>16</v>
      </c>
      <c r="E1442" t="s">
        <v>1317</v>
      </c>
      <c r="F1442" t="s">
        <v>18</v>
      </c>
      <c r="G1442" t="s">
        <v>1292</v>
      </c>
      <c r="H1442">
        <v>0</v>
      </c>
      <c r="I1442">
        <v>14000</v>
      </c>
      <c r="J1442">
        <v>6</v>
      </c>
      <c r="K1442">
        <v>84000</v>
      </c>
      <c r="L1442">
        <v>0</v>
      </c>
      <c r="M1442">
        <v>84000</v>
      </c>
      <c r="N1442" t="s">
        <v>1318</v>
      </c>
      <c r="O1442" t="s">
        <v>1283</v>
      </c>
    </row>
    <row r="1443" spans="1:15" x14ac:dyDescent="0.3">
      <c r="A1443" t="str">
        <f t="shared" si="22"/>
        <v>PPGW001032-R000-XX</v>
      </c>
      <c r="B1443" t="s">
        <v>14</v>
      </c>
      <c r="C1443" t="s">
        <v>1316</v>
      </c>
      <c r="D1443" t="s">
        <v>16</v>
      </c>
      <c r="E1443" t="s">
        <v>1317</v>
      </c>
      <c r="F1443" t="s">
        <v>18</v>
      </c>
      <c r="G1443" t="s">
        <v>19</v>
      </c>
      <c r="H1443">
        <v>0</v>
      </c>
      <c r="I1443">
        <v>7000</v>
      </c>
      <c r="J1443">
        <v>6</v>
      </c>
      <c r="K1443">
        <v>42000</v>
      </c>
      <c r="L1443">
        <v>0</v>
      </c>
      <c r="M1443">
        <v>42000</v>
      </c>
      <c r="N1443" t="s">
        <v>1318</v>
      </c>
      <c r="O1443" t="s">
        <v>1283</v>
      </c>
    </row>
    <row r="1444" spans="1:15" x14ac:dyDescent="0.3">
      <c r="A1444" t="str">
        <f t="shared" si="22"/>
        <v>PPGW001032-R000-XX</v>
      </c>
      <c r="B1444" t="s">
        <v>14</v>
      </c>
      <c r="C1444" t="s">
        <v>1316</v>
      </c>
      <c r="D1444" t="s">
        <v>16</v>
      </c>
      <c r="E1444" t="s">
        <v>1317</v>
      </c>
      <c r="F1444" t="s">
        <v>18</v>
      </c>
      <c r="G1444" t="s">
        <v>83</v>
      </c>
      <c r="H1444">
        <v>0</v>
      </c>
      <c r="I1444">
        <v>7000</v>
      </c>
      <c r="J1444">
        <v>6</v>
      </c>
      <c r="K1444">
        <v>42000</v>
      </c>
      <c r="L1444">
        <v>0</v>
      </c>
      <c r="M1444">
        <v>42000</v>
      </c>
      <c r="N1444" t="s">
        <v>1318</v>
      </c>
      <c r="O1444" t="s">
        <v>1283</v>
      </c>
    </row>
    <row r="1445" spans="1:15" x14ac:dyDescent="0.3">
      <c r="A1445" t="str">
        <f t="shared" si="22"/>
        <v>PPGW001033-R000-XX</v>
      </c>
      <c r="B1445" t="s">
        <v>14</v>
      </c>
      <c r="C1445" t="s">
        <v>1319</v>
      </c>
      <c r="D1445" t="s">
        <v>16</v>
      </c>
      <c r="E1445" t="s">
        <v>1320</v>
      </c>
      <c r="F1445" t="s">
        <v>18</v>
      </c>
      <c r="G1445" t="s">
        <v>35</v>
      </c>
      <c r="H1445">
        <v>0</v>
      </c>
      <c r="I1445">
        <v>3000</v>
      </c>
      <c r="J1445">
        <v>14</v>
      </c>
      <c r="K1445">
        <v>42000</v>
      </c>
      <c r="L1445">
        <v>0</v>
      </c>
      <c r="M1445">
        <v>42000</v>
      </c>
      <c r="O1445" t="s">
        <v>1283</v>
      </c>
    </row>
    <row r="1446" spans="1:15" x14ac:dyDescent="0.3">
      <c r="A1446" t="str">
        <f t="shared" si="22"/>
        <v>PPGW001033-R000-XX</v>
      </c>
      <c r="B1446" t="s">
        <v>14</v>
      </c>
      <c r="C1446" t="s">
        <v>1319</v>
      </c>
      <c r="D1446" t="s">
        <v>16</v>
      </c>
      <c r="E1446" t="s">
        <v>1320</v>
      </c>
      <c r="F1446" t="s">
        <v>18</v>
      </c>
      <c r="G1446" t="s">
        <v>19</v>
      </c>
      <c r="H1446">
        <v>0</v>
      </c>
      <c r="I1446">
        <v>3000</v>
      </c>
      <c r="J1446">
        <v>14</v>
      </c>
      <c r="K1446">
        <v>42000</v>
      </c>
      <c r="L1446">
        <v>0</v>
      </c>
      <c r="M1446">
        <v>42000</v>
      </c>
      <c r="O1446" t="s">
        <v>1283</v>
      </c>
    </row>
    <row r="1447" spans="1:15" x14ac:dyDescent="0.3">
      <c r="A1447" t="str">
        <f t="shared" si="22"/>
        <v>W61-3S-0001-XX</v>
      </c>
      <c r="B1447" t="s">
        <v>14</v>
      </c>
      <c r="C1447" t="s">
        <v>1321</v>
      </c>
      <c r="D1447" t="s">
        <v>16</v>
      </c>
      <c r="E1447" t="s">
        <v>1322</v>
      </c>
      <c r="F1447" t="s">
        <v>18</v>
      </c>
      <c r="G1447" t="s">
        <v>246</v>
      </c>
      <c r="H1447">
        <v>0</v>
      </c>
      <c r="I1447">
        <v>13000</v>
      </c>
      <c r="J1447">
        <v>260</v>
      </c>
      <c r="K1447">
        <v>3380000</v>
      </c>
      <c r="L1447">
        <v>0</v>
      </c>
      <c r="M1447">
        <v>3380000</v>
      </c>
      <c r="N1447" t="s">
        <v>1323</v>
      </c>
      <c r="O1447" t="s">
        <v>1283</v>
      </c>
    </row>
    <row r="1448" spans="1:15" x14ac:dyDescent="0.3">
      <c r="A1448" t="str">
        <f t="shared" si="22"/>
        <v>W61-3S-0001-XX</v>
      </c>
      <c r="B1448" t="s">
        <v>14</v>
      </c>
      <c r="C1448" t="s">
        <v>1321</v>
      </c>
      <c r="D1448" t="s">
        <v>16</v>
      </c>
      <c r="E1448" t="s">
        <v>1322</v>
      </c>
      <c r="F1448" t="s">
        <v>18</v>
      </c>
      <c r="G1448" t="s">
        <v>1324</v>
      </c>
      <c r="H1448">
        <v>0</v>
      </c>
      <c r="I1448">
        <v>2000</v>
      </c>
      <c r="J1448">
        <v>260</v>
      </c>
      <c r="K1448">
        <v>520000</v>
      </c>
      <c r="L1448">
        <v>0</v>
      </c>
      <c r="M1448">
        <v>520000</v>
      </c>
      <c r="N1448" t="s">
        <v>1323</v>
      </c>
      <c r="O1448" t="s">
        <v>1283</v>
      </c>
    </row>
    <row r="1449" spans="1:15" x14ac:dyDescent="0.3">
      <c r="A1449" t="str">
        <f t="shared" si="22"/>
        <v>W61-3S-0001-XX</v>
      </c>
      <c r="B1449" t="s">
        <v>14</v>
      </c>
      <c r="C1449" t="s">
        <v>1321</v>
      </c>
      <c r="D1449" t="s">
        <v>16</v>
      </c>
      <c r="E1449" t="s">
        <v>1322</v>
      </c>
      <c r="F1449" t="s">
        <v>18</v>
      </c>
      <c r="G1449" t="s">
        <v>35</v>
      </c>
      <c r="H1449">
        <v>0</v>
      </c>
      <c r="I1449">
        <v>2000</v>
      </c>
      <c r="J1449">
        <v>260</v>
      </c>
      <c r="K1449">
        <v>520000</v>
      </c>
      <c r="L1449">
        <v>0</v>
      </c>
      <c r="M1449">
        <v>520000</v>
      </c>
      <c r="N1449" t="s">
        <v>1323</v>
      </c>
      <c r="O1449" t="s">
        <v>1283</v>
      </c>
    </row>
    <row r="1450" spans="1:15" x14ac:dyDescent="0.3">
      <c r="A1450" t="str">
        <f t="shared" si="22"/>
        <v>W61-3Z-103-XX</v>
      </c>
      <c r="B1450" t="s">
        <v>14</v>
      </c>
      <c r="C1450" t="s">
        <v>1325</v>
      </c>
      <c r="D1450" t="s">
        <v>16</v>
      </c>
      <c r="E1450" t="s">
        <v>1326</v>
      </c>
      <c r="F1450" t="s">
        <v>18</v>
      </c>
      <c r="G1450" t="s">
        <v>35</v>
      </c>
      <c r="H1450">
        <v>0</v>
      </c>
      <c r="I1450">
        <v>200</v>
      </c>
      <c r="J1450">
        <v>3120</v>
      </c>
      <c r="K1450">
        <v>624000</v>
      </c>
      <c r="L1450">
        <v>0</v>
      </c>
      <c r="M1450">
        <v>624000</v>
      </c>
      <c r="O1450" t="s">
        <v>1283</v>
      </c>
    </row>
    <row r="1451" spans="1:15" x14ac:dyDescent="0.3">
      <c r="A1451" t="str">
        <f t="shared" si="22"/>
        <v>OPPRPE0000021-MM</v>
      </c>
      <c r="B1451" t="s">
        <v>14</v>
      </c>
      <c r="C1451" t="s">
        <v>1327</v>
      </c>
      <c r="D1451" t="s">
        <v>57</v>
      </c>
      <c r="E1451" t="s">
        <v>1328</v>
      </c>
      <c r="F1451" t="s">
        <v>18</v>
      </c>
      <c r="G1451" t="s">
        <v>537</v>
      </c>
      <c r="H1451">
        <v>0</v>
      </c>
      <c r="I1451">
        <v>1500</v>
      </c>
      <c r="J1451">
        <v>1900</v>
      </c>
      <c r="K1451">
        <v>2850000</v>
      </c>
      <c r="L1451">
        <v>0</v>
      </c>
      <c r="M1451">
        <v>2850000</v>
      </c>
      <c r="N1451" t="s">
        <v>1329</v>
      </c>
      <c r="O1451" t="s">
        <v>1330</v>
      </c>
    </row>
    <row r="1452" spans="1:15" x14ac:dyDescent="0.3">
      <c r="A1452" t="str">
        <f t="shared" si="22"/>
        <v>OPPRPE0000021-MM</v>
      </c>
      <c r="B1452" t="s">
        <v>14</v>
      </c>
      <c r="C1452" t="s">
        <v>1327</v>
      </c>
      <c r="D1452" t="s">
        <v>57</v>
      </c>
      <c r="E1452" t="s">
        <v>1328</v>
      </c>
      <c r="F1452" t="s">
        <v>18</v>
      </c>
      <c r="G1452" t="s">
        <v>1331</v>
      </c>
      <c r="H1452">
        <v>0</v>
      </c>
      <c r="I1452">
        <v>500</v>
      </c>
      <c r="J1452">
        <v>1900</v>
      </c>
      <c r="K1452">
        <v>950000</v>
      </c>
      <c r="L1452">
        <v>0</v>
      </c>
      <c r="M1452">
        <v>950000</v>
      </c>
      <c r="N1452" t="s">
        <v>1329</v>
      </c>
      <c r="O1452" t="s">
        <v>1330</v>
      </c>
    </row>
    <row r="1453" spans="1:15" x14ac:dyDescent="0.3">
      <c r="A1453" t="str">
        <f t="shared" si="22"/>
        <v>OPPRPE0000022-BK</v>
      </c>
      <c r="B1453" t="s">
        <v>14</v>
      </c>
      <c r="C1453" t="s">
        <v>1332</v>
      </c>
      <c r="D1453" t="s">
        <v>31</v>
      </c>
      <c r="E1453" t="s">
        <v>1333</v>
      </c>
      <c r="F1453" t="s">
        <v>18</v>
      </c>
      <c r="G1453" t="s">
        <v>537</v>
      </c>
      <c r="H1453">
        <v>0</v>
      </c>
      <c r="I1453">
        <v>4500</v>
      </c>
      <c r="J1453">
        <v>1660</v>
      </c>
      <c r="K1453">
        <v>7470000</v>
      </c>
      <c r="L1453">
        <v>0</v>
      </c>
      <c r="M1453">
        <v>7470000</v>
      </c>
      <c r="N1453" t="s">
        <v>1334</v>
      </c>
      <c r="O1453" t="s">
        <v>1330</v>
      </c>
    </row>
    <row r="1454" spans="1:15" x14ac:dyDescent="0.3">
      <c r="A1454" t="str">
        <f t="shared" si="22"/>
        <v>OPPRPE0000022-BK</v>
      </c>
      <c r="B1454" t="s">
        <v>14</v>
      </c>
      <c r="C1454" t="s">
        <v>1332</v>
      </c>
      <c r="D1454" t="s">
        <v>31</v>
      </c>
      <c r="E1454" t="s">
        <v>1333</v>
      </c>
      <c r="F1454" t="s">
        <v>18</v>
      </c>
      <c r="G1454" t="s">
        <v>542</v>
      </c>
      <c r="H1454">
        <v>0</v>
      </c>
      <c r="I1454">
        <v>24000</v>
      </c>
      <c r="J1454">
        <v>1660</v>
      </c>
      <c r="K1454">
        <v>39840000</v>
      </c>
      <c r="L1454">
        <v>0</v>
      </c>
      <c r="M1454">
        <v>39840000</v>
      </c>
      <c r="N1454" t="s">
        <v>1334</v>
      </c>
      <c r="O1454" t="s">
        <v>1330</v>
      </c>
    </row>
    <row r="1455" spans="1:15" x14ac:dyDescent="0.3">
      <c r="A1455" t="str">
        <f t="shared" si="22"/>
        <v>PPFC000005-R000-BE</v>
      </c>
      <c r="B1455" t="s">
        <v>14</v>
      </c>
      <c r="C1455" t="s">
        <v>1335</v>
      </c>
      <c r="D1455" t="s">
        <v>270</v>
      </c>
      <c r="E1455" t="s">
        <v>1336</v>
      </c>
      <c r="F1455" t="s">
        <v>18</v>
      </c>
      <c r="G1455" t="s">
        <v>1339</v>
      </c>
      <c r="H1455">
        <v>0</v>
      </c>
      <c r="I1455">
        <v>1535</v>
      </c>
      <c r="J1455">
        <v>680</v>
      </c>
      <c r="K1455">
        <v>1043800</v>
      </c>
      <c r="L1455">
        <v>0</v>
      </c>
      <c r="M1455">
        <v>1043800</v>
      </c>
      <c r="N1455" t="s">
        <v>1337</v>
      </c>
      <c r="O1455" t="s">
        <v>1330</v>
      </c>
    </row>
    <row r="1456" spans="1:15" x14ac:dyDescent="0.3">
      <c r="A1456" t="str">
        <f t="shared" si="22"/>
        <v>PPFC000005-R000-BK</v>
      </c>
      <c r="B1456" t="s">
        <v>14</v>
      </c>
      <c r="C1456" t="s">
        <v>1335</v>
      </c>
      <c r="D1456" t="s">
        <v>31</v>
      </c>
      <c r="E1456" t="s">
        <v>2007</v>
      </c>
      <c r="F1456" t="s">
        <v>18</v>
      </c>
      <c r="G1456" t="s">
        <v>914</v>
      </c>
      <c r="H1456">
        <v>0</v>
      </c>
      <c r="I1456">
        <v>2700</v>
      </c>
      <c r="J1456">
        <v>1060</v>
      </c>
      <c r="K1456">
        <v>2862000</v>
      </c>
      <c r="L1456">
        <v>0</v>
      </c>
      <c r="M1456">
        <v>2862000</v>
      </c>
      <c r="N1456" t="s">
        <v>2008</v>
      </c>
      <c r="O1456" t="s">
        <v>1330</v>
      </c>
    </row>
    <row r="1457" spans="1:15" x14ac:dyDescent="0.3">
      <c r="A1457" t="str">
        <f t="shared" si="22"/>
        <v>PPFC000005-R000-FK</v>
      </c>
      <c r="B1457" t="s">
        <v>14</v>
      </c>
      <c r="C1457" t="s">
        <v>1335</v>
      </c>
      <c r="D1457" t="s">
        <v>229</v>
      </c>
      <c r="E1457" t="s">
        <v>1338</v>
      </c>
      <c r="F1457" t="s">
        <v>18</v>
      </c>
      <c r="G1457" t="s">
        <v>914</v>
      </c>
      <c r="H1457">
        <v>0</v>
      </c>
      <c r="I1457">
        <v>1300</v>
      </c>
      <c r="J1457">
        <v>560</v>
      </c>
      <c r="K1457">
        <v>728000</v>
      </c>
      <c r="L1457">
        <v>0</v>
      </c>
      <c r="M1457">
        <v>728000</v>
      </c>
      <c r="O1457" t="s">
        <v>1330</v>
      </c>
    </row>
    <row r="1458" spans="1:15" x14ac:dyDescent="0.3">
      <c r="A1458" t="str">
        <f t="shared" si="22"/>
        <v>PPFC000005-R000-IO</v>
      </c>
      <c r="B1458" t="s">
        <v>14</v>
      </c>
      <c r="C1458" t="s">
        <v>1335</v>
      </c>
      <c r="D1458" t="s">
        <v>2009</v>
      </c>
      <c r="E1458" t="s">
        <v>2010</v>
      </c>
      <c r="F1458" t="s">
        <v>18</v>
      </c>
      <c r="G1458" t="s">
        <v>1339</v>
      </c>
      <c r="H1458">
        <v>0</v>
      </c>
      <c r="I1458">
        <v>615</v>
      </c>
      <c r="J1458">
        <v>1690</v>
      </c>
      <c r="K1458">
        <v>1039350</v>
      </c>
      <c r="L1458">
        <v>0</v>
      </c>
      <c r="M1458">
        <v>1039350</v>
      </c>
      <c r="N1458" t="s">
        <v>2011</v>
      </c>
      <c r="O1458" t="s">
        <v>1330</v>
      </c>
    </row>
    <row r="1459" spans="1:15" x14ac:dyDescent="0.3">
      <c r="A1459" t="str">
        <f t="shared" si="22"/>
        <v>PPFC000005-R000-LT</v>
      </c>
      <c r="B1459" t="s">
        <v>14</v>
      </c>
      <c r="C1459" t="s">
        <v>1335</v>
      </c>
      <c r="D1459" t="s">
        <v>217</v>
      </c>
      <c r="E1459" t="s">
        <v>2012</v>
      </c>
      <c r="F1459" t="s">
        <v>18</v>
      </c>
      <c r="G1459" t="s">
        <v>1339</v>
      </c>
      <c r="H1459">
        <v>0</v>
      </c>
      <c r="I1459">
        <v>816</v>
      </c>
      <c r="J1459">
        <v>780</v>
      </c>
      <c r="K1459">
        <v>636480</v>
      </c>
      <c r="L1459">
        <v>0</v>
      </c>
      <c r="M1459">
        <v>636480</v>
      </c>
      <c r="N1459" t="s">
        <v>2013</v>
      </c>
      <c r="O1459" t="s">
        <v>1330</v>
      </c>
    </row>
    <row r="1460" spans="1:15" x14ac:dyDescent="0.3">
      <c r="A1460" t="str">
        <f t="shared" si="22"/>
        <v>PPFC000005-R000-OS</v>
      </c>
      <c r="B1460" t="s">
        <v>14</v>
      </c>
      <c r="C1460" t="s">
        <v>1335</v>
      </c>
      <c r="D1460" t="s">
        <v>264</v>
      </c>
      <c r="E1460" t="s">
        <v>1340</v>
      </c>
      <c r="F1460" t="s">
        <v>18</v>
      </c>
      <c r="G1460" t="s">
        <v>1339</v>
      </c>
      <c r="H1460">
        <v>0</v>
      </c>
      <c r="I1460">
        <v>3590</v>
      </c>
      <c r="J1460">
        <v>650</v>
      </c>
      <c r="K1460">
        <v>2333500</v>
      </c>
      <c r="L1460">
        <v>0</v>
      </c>
      <c r="M1460">
        <v>2333500</v>
      </c>
      <c r="N1460" t="s">
        <v>1341</v>
      </c>
      <c r="O1460" t="s">
        <v>1330</v>
      </c>
    </row>
    <row r="1461" spans="1:15" x14ac:dyDescent="0.3">
      <c r="A1461" t="str">
        <f t="shared" si="22"/>
        <v>PPFC000005-R000-SO</v>
      </c>
      <c r="B1461" t="s">
        <v>14</v>
      </c>
      <c r="C1461" t="s">
        <v>1335</v>
      </c>
      <c r="D1461" t="s">
        <v>301</v>
      </c>
      <c r="E1461" t="s">
        <v>2014</v>
      </c>
      <c r="F1461" t="s">
        <v>18</v>
      </c>
      <c r="G1461" t="s">
        <v>1339</v>
      </c>
      <c r="H1461">
        <v>0</v>
      </c>
      <c r="I1461">
        <v>8740</v>
      </c>
      <c r="J1461">
        <v>730</v>
      </c>
      <c r="K1461">
        <v>6380200</v>
      </c>
      <c r="L1461">
        <v>0</v>
      </c>
      <c r="M1461">
        <v>6380200</v>
      </c>
      <c r="N1461" t="s">
        <v>87</v>
      </c>
      <c r="O1461" t="s">
        <v>1330</v>
      </c>
    </row>
    <row r="1462" spans="1:15" x14ac:dyDescent="0.3">
      <c r="A1462" t="str">
        <f t="shared" si="22"/>
        <v>PPFC000005-R000-WW</v>
      </c>
      <c r="B1462" t="s">
        <v>14</v>
      </c>
      <c r="C1462" t="s">
        <v>1335</v>
      </c>
      <c r="D1462" t="s">
        <v>28</v>
      </c>
      <c r="E1462" t="s">
        <v>1342</v>
      </c>
      <c r="F1462" t="s">
        <v>18</v>
      </c>
      <c r="G1462" t="s">
        <v>1339</v>
      </c>
      <c r="H1462">
        <v>0</v>
      </c>
      <c r="I1462">
        <v>12960</v>
      </c>
      <c r="J1462">
        <v>380</v>
      </c>
      <c r="K1462">
        <v>4924800</v>
      </c>
      <c r="L1462">
        <v>0</v>
      </c>
      <c r="M1462">
        <v>4924800</v>
      </c>
      <c r="N1462" t="s">
        <v>1343</v>
      </c>
      <c r="O1462" t="s">
        <v>1330</v>
      </c>
    </row>
    <row r="1463" spans="1:15" x14ac:dyDescent="0.3">
      <c r="A1463" t="str">
        <f t="shared" si="22"/>
        <v>PPFC000112-R000-SO</v>
      </c>
      <c r="B1463" t="s">
        <v>14</v>
      </c>
      <c r="C1463" t="s">
        <v>1344</v>
      </c>
      <c r="D1463" t="s">
        <v>301</v>
      </c>
      <c r="E1463" t="s">
        <v>1345</v>
      </c>
      <c r="F1463" t="s">
        <v>18</v>
      </c>
      <c r="G1463" t="s">
        <v>1346</v>
      </c>
      <c r="H1463">
        <v>0</v>
      </c>
      <c r="I1463">
        <v>700</v>
      </c>
      <c r="J1463">
        <v>1860</v>
      </c>
      <c r="K1463">
        <v>1302000</v>
      </c>
      <c r="L1463">
        <v>0</v>
      </c>
      <c r="M1463">
        <v>1302000</v>
      </c>
      <c r="N1463" t="s">
        <v>69</v>
      </c>
      <c r="O1463" t="s">
        <v>1330</v>
      </c>
    </row>
    <row r="1464" spans="1:15" x14ac:dyDescent="0.3">
      <c r="A1464" t="str">
        <f t="shared" si="22"/>
        <v>PPFC000300-R000-BRC</v>
      </c>
      <c r="B1464" t="s">
        <v>14</v>
      </c>
      <c r="C1464" t="s">
        <v>1347</v>
      </c>
      <c r="D1464" t="s">
        <v>895</v>
      </c>
      <c r="E1464" t="s">
        <v>1348</v>
      </c>
      <c r="F1464" t="s">
        <v>18</v>
      </c>
      <c r="G1464" t="s">
        <v>1349</v>
      </c>
      <c r="H1464">
        <v>0</v>
      </c>
      <c r="I1464">
        <v>14790</v>
      </c>
      <c r="J1464">
        <v>900</v>
      </c>
      <c r="K1464">
        <v>13311000</v>
      </c>
      <c r="L1464">
        <v>0</v>
      </c>
      <c r="M1464">
        <v>13311000</v>
      </c>
      <c r="N1464" t="s">
        <v>87</v>
      </c>
      <c r="O1464" t="s">
        <v>1330</v>
      </c>
    </row>
    <row r="1465" spans="1:15" x14ac:dyDescent="0.3">
      <c r="A1465" t="str">
        <f t="shared" si="22"/>
        <v>PPFC000300-R000-SP</v>
      </c>
      <c r="B1465" t="s">
        <v>14</v>
      </c>
      <c r="C1465" t="s">
        <v>1347</v>
      </c>
      <c r="D1465" t="s">
        <v>201</v>
      </c>
      <c r="E1465" t="s">
        <v>1350</v>
      </c>
      <c r="F1465" t="s">
        <v>18</v>
      </c>
      <c r="G1465" t="s">
        <v>1349</v>
      </c>
      <c r="H1465">
        <v>0</v>
      </c>
      <c r="I1465">
        <v>1000</v>
      </c>
      <c r="J1465">
        <v>670</v>
      </c>
      <c r="K1465">
        <v>670000</v>
      </c>
      <c r="L1465">
        <v>0</v>
      </c>
      <c r="M1465">
        <v>670000</v>
      </c>
      <c r="N1465" t="s">
        <v>1351</v>
      </c>
      <c r="O1465" t="s">
        <v>1330</v>
      </c>
    </row>
    <row r="1466" spans="1:15" x14ac:dyDescent="0.3">
      <c r="A1466" t="str">
        <f t="shared" si="22"/>
        <v>PPFC000308-R000-BK</v>
      </c>
      <c r="B1466" t="s">
        <v>14</v>
      </c>
      <c r="C1466" t="s">
        <v>1352</v>
      </c>
      <c r="D1466" t="s">
        <v>31</v>
      </c>
      <c r="E1466" t="s">
        <v>1353</v>
      </c>
      <c r="F1466" t="s">
        <v>18</v>
      </c>
      <c r="G1466" t="s">
        <v>1349</v>
      </c>
      <c r="H1466">
        <v>0</v>
      </c>
      <c r="I1466">
        <v>1545</v>
      </c>
      <c r="J1466">
        <v>1820</v>
      </c>
      <c r="K1466">
        <v>2811900</v>
      </c>
      <c r="L1466">
        <v>0</v>
      </c>
      <c r="M1466">
        <v>2811900</v>
      </c>
      <c r="N1466" t="s">
        <v>1351</v>
      </c>
      <c r="O1466" t="s">
        <v>1330</v>
      </c>
    </row>
    <row r="1467" spans="1:15" x14ac:dyDescent="0.3">
      <c r="A1467" t="str">
        <f t="shared" si="22"/>
        <v>PPFC000308-R000-FK</v>
      </c>
      <c r="B1467" t="s">
        <v>14</v>
      </c>
      <c r="C1467" t="s">
        <v>1352</v>
      </c>
      <c r="D1467" t="s">
        <v>229</v>
      </c>
      <c r="E1467" t="s">
        <v>2015</v>
      </c>
      <c r="F1467" t="s">
        <v>18</v>
      </c>
      <c r="G1467" t="s">
        <v>1349</v>
      </c>
      <c r="H1467">
        <v>0</v>
      </c>
      <c r="I1467">
        <v>1300</v>
      </c>
      <c r="J1467">
        <v>1370</v>
      </c>
      <c r="K1467">
        <v>1781000</v>
      </c>
      <c r="L1467">
        <v>0</v>
      </c>
      <c r="M1467">
        <v>1781000</v>
      </c>
      <c r="N1467" t="s">
        <v>1351</v>
      </c>
      <c r="O1467" t="s">
        <v>1330</v>
      </c>
    </row>
    <row r="1468" spans="1:15" x14ac:dyDescent="0.3">
      <c r="A1468" t="str">
        <f t="shared" si="22"/>
        <v>PPFC000308-R000-SO</v>
      </c>
      <c r="B1468" t="s">
        <v>14</v>
      </c>
      <c r="C1468" t="s">
        <v>1352</v>
      </c>
      <c r="D1468" t="s">
        <v>301</v>
      </c>
      <c r="E1468" t="s">
        <v>1354</v>
      </c>
      <c r="F1468" t="s">
        <v>18</v>
      </c>
      <c r="G1468" t="s">
        <v>1349</v>
      </c>
      <c r="H1468">
        <v>0</v>
      </c>
      <c r="I1468">
        <v>1000</v>
      </c>
      <c r="J1468">
        <v>1940</v>
      </c>
      <c r="K1468">
        <v>1940000</v>
      </c>
      <c r="L1468">
        <v>0</v>
      </c>
      <c r="M1468">
        <v>1940000</v>
      </c>
      <c r="N1468" t="s">
        <v>87</v>
      </c>
      <c r="O1468" t="s">
        <v>1330</v>
      </c>
    </row>
    <row r="1469" spans="1:15" x14ac:dyDescent="0.3">
      <c r="A1469" t="str">
        <f t="shared" si="22"/>
        <v>PPFC000313-R000-SO</v>
      </c>
      <c r="B1469" t="s">
        <v>14</v>
      </c>
      <c r="C1469" t="s">
        <v>1355</v>
      </c>
      <c r="D1469" t="s">
        <v>301</v>
      </c>
      <c r="E1469" t="s">
        <v>1356</v>
      </c>
      <c r="F1469" t="s">
        <v>18</v>
      </c>
      <c r="G1469" t="s">
        <v>914</v>
      </c>
      <c r="H1469">
        <v>0</v>
      </c>
      <c r="I1469">
        <v>6790</v>
      </c>
      <c r="J1469">
        <v>730</v>
      </c>
      <c r="K1469">
        <v>4956700</v>
      </c>
      <c r="L1469">
        <v>0</v>
      </c>
      <c r="M1469">
        <v>4956700</v>
      </c>
      <c r="N1469" t="s">
        <v>87</v>
      </c>
      <c r="O1469" t="s">
        <v>1330</v>
      </c>
    </row>
    <row r="1470" spans="1:15" x14ac:dyDescent="0.3">
      <c r="A1470" t="str">
        <f t="shared" si="22"/>
        <v>PPFC000314-R000-SPP</v>
      </c>
      <c r="B1470" t="s">
        <v>14</v>
      </c>
      <c r="C1470" t="s">
        <v>1357</v>
      </c>
      <c r="D1470" t="s">
        <v>1359</v>
      </c>
      <c r="E1470" t="s">
        <v>1360</v>
      </c>
      <c r="F1470" t="s">
        <v>18</v>
      </c>
      <c r="G1470" t="s">
        <v>1346</v>
      </c>
      <c r="H1470">
        <v>0</v>
      </c>
      <c r="I1470">
        <v>265</v>
      </c>
      <c r="J1470">
        <v>3090</v>
      </c>
      <c r="K1470">
        <v>818850</v>
      </c>
      <c r="L1470">
        <v>0</v>
      </c>
      <c r="M1470">
        <v>818850</v>
      </c>
      <c r="N1470" t="s">
        <v>1361</v>
      </c>
      <c r="O1470" t="s">
        <v>1330</v>
      </c>
    </row>
    <row r="1471" spans="1:15" x14ac:dyDescent="0.3">
      <c r="A1471" t="str">
        <f t="shared" si="22"/>
        <v>PPFC000315-R000-SPP</v>
      </c>
      <c r="B1471" t="s">
        <v>14</v>
      </c>
      <c r="C1471" t="s">
        <v>1362</v>
      </c>
      <c r="D1471" t="s">
        <v>1359</v>
      </c>
      <c r="E1471" t="s">
        <v>1363</v>
      </c>
      <c r="F1471" t="s">
        <v>18</v>
      </c>
      <c r="G1471" t="s">
        <v>1346</v>
      </c>
      <c r="H1471">
        <v>0</v>
      </c>
      <c r="I1471">
        <v>480</v>
      </c>
      <c r="J1471">
        <v>980</v>
      </c>
      <c r="K1471">
        <v>470400</v>
      </c>
      <c r="L1471">
        <v>0</v>
      </c>
      <c r="M1471">
        <v>470400</v>
      </c>
      <c r="N1471" t="s">
        <v>1364</v>
      </c>
      <c r="O1471" t="s">
        <v>1330</v>
      </c>
    </row>
    <row r="1472" spans="1:15" x14ac:dyDescent="0.3">
      <c r="A1472" t="str">
        <f t="shared" si="22"/>
        <v>PPFC000316-R000-OATP</v>
      </c>
      <c r="B1472" t="s">
        <v>14</v>
      </c>
      <c r="C1472" t="s">
        <v>1365</v>
      </c>
      <c r="D1472" t="s">
        <v>1358</v>
      </c>
      <c r="E1472" t="s">
        <v>1366</v>
      </c>
      <c r="F1472" t="s">
        <v>18</v>
      </c>
      <c r="G1472" t="s">
        <v>1367</v>
      </c>
      <c r="H1472">
        <v>0</v>
      </c>
      <c r="I1472">
        <v>1690</v>
      </c>
      <c r="J1472">
        <v>3610</v>
      </c>
      <c r="K1472">
        <v>6100900</v>
      </c>
      <c r="L1472">
        <v>0</v>
      </c>
      <c r="M1472">
        <v>6100900</v>
      </c>
      <c r="N1472" t="s">
        <v>87</v>
      </c>
      <c r="O1472" t="s">
        <v>1330</v>
      </c>
    </row>
    <row r="1473" spans="1:15" x14ac:dyDescent="0.3">
      <c r="A1473" t="str">
        <f t="shared" si="22"/>
        <v>PPFC000316-R000-OATP</v>
      </c>
      <c r="B1473" t="s">
        <v>14</v>
      </c>
      <c r="C1473" t="s">
        <v>1365</v>
      </c>
      <c r="D1473" t="s">
        <v>1358</v>
      </c>
      <c r="E1473" t="s">
        <v>1366</v>
      </c>
      <c r="F1473" t="s">
        <v>18</v>
      </c>
      <c r="G1473" t="s">
        <v>174</v>
      </c>
      <c r="H1473">
        <v>0</v>
      </c>
      <c r="I1473">
        <v>300</v>
      </c>
      <c r="J1473">
        <v>3610</v>
      </c>
      <c r="K1473">
        <v>1083000</v>
      </c>
      <c r="L1473">
        <v>0</v>
      </c>
      <c r="M1473">
        <v>1083000</v>
      </c>
      <c r="N1473" t="s">
        <v>87</v>
      </c>
      <c r="O1473" t="s">
        <v>1330</v>
      </c>
    </row>
    <row r="1474" spans="1:15" x14ac:dyDescent="0.3">
      <c r="A1474" t="str">
        <f t="shared" si="22"/>
        <v>PPFC000316-R000-SPP</v>
      </c>
      <c r="B1474" t="s">
        <v>14</v>
      </c>
      <c r="C1474" t="s">
        <v>1365</v>
      </c>
      <c r="D1474" t="s">
        <v>1359</v>
      </c>
      <c r="E1474" t="s">
        <v>1368</v>
      </c>
      <c r="F1474" t="s">
        <v>18</v>
      </c>
      <c r="G1474" t="s">
        <v>1367</v>
      </c>
      <c r="H1474">
        <v>0</v>
      </c>
      <c r="I1474">
        <v>535</v>
      </c>
      <c r="J1474">
        <v>3610</v>
      </c>
      <c r="K1474">
        <v>1931350</v>
      </c>
      <c r="L1474">
        <v>0</v>
      </c>
      <c r="M1474">
        <v>1931350</v>
      </c>
      <c r="N1474" t="s">
        <v>87</v>
      </c>
      <c r="O1474" t="s">
        <v>1330</v>
      </c>
    </row>
    <row r="1475" spans="1:15" x14ac:dyDescent="0.3">
      <c r="A1475" t="str">
        <f t="shared" ref="A1475:A1538" si="23">C1475&amp;"-"&amp;D1475</f>
        <v>PPFC000405-R000-FK</v>
      </c>
      <c r="B1475" t="s">
        <v>14</v>
      </c>
      <c r="C1475" t="s">
        <v>1369</v>
      </c>
      <c r="D1475" t="s">
        <v>229</v>
      </c>
      <c r="E1475" t="s">
        <v>2016</v>
      </c>
      <c r="F1475" t="s">
        <v>18</v>
      </c>
      <c r="G1475" t="s">
        <v>1371</v>
      </c>
      <c r="H1475">
        <v>0</v>
      </c>
      <c r="I1475">
        <v>299</v>
      </c>
      <c r="J1475">
        <v>3820</v>
      </c>
      <c r="K1475">
        <v>1142180</v>
      </c>
      <c r="L1475">
        <v>0</v>
      </c>
      <c r="M1475">
        <v>1142180</v>
      </c>
      <c r="N1475" t="s">
        <v>69</v>
      </c>
      <c r="O1475" t="s">
        <v>1330</v>
      </c>
    </row>
    <row r="1476" spans="1:15" x14ac:dyDescent="0.3">
      <c r="A1476" t="str">
        <f t="shared" si="23"/>
        <v>PPFC000405-R000-WW</v>
      </c>
      <c r="B1476" t="s">
        <v>14</v>
      </c>
      <c r="C1476" t="s">
        <v>1369</v>
      </c>
      <c r="D1476" t="s">
        <v>28</v>
      </c>
      <c r="E1476" t="s">
        <v>1370</v>
      </c>
      <c r="F1476" t="s">
        <v>18</v>
      </c>
      <c r="G1476" t="s">
        <v>1371</v>
      </c>
      <c r="H1476">
        <v>0</v>
      </c>
      <c r="I1476">
        <v>2139</v>
      </c>
      <c r="J1476">
        <v>3820</v>
      </c>
      <c r="K1476">
        <v>8170980</v>
      </c>
      <c r="L1476">
        <v>0</v>
      </c>
      <c r="M1476">
        <v>8170980</v>
      </c>
      <c r="N1476" t="s">
        <v>69</v>
      </c>
      <c r="O1476" t="s">
        <v>1330</v>
      </c>
    </row>
    <row r="1477" spans="1:15" x14ac:dyDescent="0.3">
      <c r="A1477" t="str">
        <f t="shared" si="23"/>
        <v>PPFC000406-R000-FK</v>
      </c>
      <c r="B1477" t="s">
        <v>14</v>
      </c>
      <c r="C1477" t="s">
        <v>1372</v>
      </c>
      <c r="D1477" t="s">
        <v>229</v>
      </c>
      <c r="E1477" t="s">
        <v>1373</v>
      </c>
      <c r="F1477" t="s">
        <v>18</v>
      </c>
      <c r="G1477" t="s">
        <v>1371</v>
      </c>
      <c r="H1477">
        <v>0</v>
      </c>
      <c r="I1477">
        <v>849</v>
      </c>
      <c r="J1477">
        <v>3820</v>
      </c>
      <c r="K1477">
        <v>3243180</v>
      </c>
      <c r="L1477">
        <v>0</v>
      </c>
      <c r="M1477">
        <v>3243180</v>
      </c>
      <c r="N1477" t="s">
        <v>69</v>
      </c>
      <c r="O1477" t="s">
        <v>1330</v>
      </c>
    </row>
    <row r="1478" spans="1:15" x14ac:dyDescent="0.3">
      <c r="A1478" t="str">
        <f t="shared" si="23"/>
        <v>PPFC000406-R000-WW</v>
      </c>
      <c r="B1478" t="s">
        <v>14</v>
      </c>
      <c r="C1478" t="s">
        <v>1372</v>
      </c>
      <c r="D1478" t="s">
        <v>28</v>
      </c>
      <c r="E1478" t="s">
        <v>1374</v>
      </c>
      <c r="F1478" t="s">
        <v>18</v>
      </c>
      <c r="G1478" t="s">
        <v>1371</v>
      </c>
      <c r="H1478">
        <v>0</v>
      </c>
      <c r="I1478">
        <v>4269</v>
      </c>
      <c r="J1478">
        <v>3820</v>
      </c>
      <c r="K1478">
        <v>16307580</v>
      </c>
      <c r="L1478">
        <v>0</v>
      </c>
      <c r="M1478">
        <v>16307580</v>
      </c>
      <c r="N1478" t="s">
        <v>69</v>
      </c>
      <c r="O1478" t="s">
        <v>1330</v>
      </c>
    </row>
    <row r="1479" spans="1:15" x14ac:dyDescent="0.3">
      <c r="A1479" t="str">
        <f t="shared" si="23"/>
        <v>PPRPFF0000002-MAC</v>
      </c>
      <c r="B1479" t="s">
        <v>14</v>
      </c>
      <c r="C1479" t="s">
        <v>2017</v>
      </c>
      <c r="D1479" t="s">
        <v>869</v>
      </c>
      <c r="E1479" t="s">
        <v>2018</v>
      </c>
      <c r="F1479" t="s">
        <v>18</v>
      </c>
      <c r="G1479" t="s">
        <v>1349</v>
      </c>
      <c r="H1479">
        <v>0</v>
      </c>
      <c r="I1479">
        <v>1300</v>
      </c>
      <c r="J1479">
        <v>1650</v>
      </c>
      <c r="K1479">
        <v>2145000</v>
      </c>
      <c r="L1479">
        <v>0</v>
      </c>
      <c r="M1479">
        <v>2145000</v>
      </c>
      <c r="N1479" t="s">
        <v>2019</v>
      </c>
      <c r="O1479" t="s">
        <v>1330</v>
      </c>
    </row>
    <row r="1480" spans="1:15" x14ac:dyDescent="0.3">
      <c r="A1480" t="str">
        <f t="shared" si="23"/>
        <v>PPRPFF0000009-OML</v>
      </c>
      <c r="B1480" t="s">
        <v>14</v>
      </c>
      <c r="C1480" t="s">
        <v>2020</v>
      </c>
      <c r="D1480" t="s">
        <v>2021</v>
      </c>
      <c r="E1480" t="s">
        <v>2022</v>
      </c>
      <c r="F1480" t="s">
        <v>18</v>
      </c>
      <c r="G1480" t="s">
        <v>1203</v>
      </c>
      <c r="H1480">
        <v>0</v>
      </c>
      <c r="I1480">
        <v>100</v>
      </c>
      <c r="J1480">
        <v>1940</v>
      </c>
      <c r="K1480">
        <v>194000</v>
      </c>
      <c r="L1480">
        <v>0</v>
      </c>
      <c r="M1480">
        <v>194000</v>
      </c>
      <c r="N1480" t="s">
        <v>2023</v>
      </c>
      <c r="O1480" t="s">
        <v>1330</v>
      </c>
    </row>
    <row r="1481" spans="1:15" x14ac:dyDescent="0.3">
      <c r="A1481" t="str">
        <f t="shared" si="23"/>
        <v>PPRPHC0000003-XX</v>
      </c>
      <c r="B1481" t="s">
        <v>14</v>
      </c>
      <c r="C1481" t="s">
        <v>1375</v>
      </c>
      <c r="D1481" t="s">
        <v>16</v>
      </c>
      <c r="E1481" t="s">
        <v>1376</v>
      </c>
      <c r="F1481" t="s">
        <v>18</v>
      </c>
      <c r="G1481" t="s">
        <v>1378</v>
      </c>
      <c r="H1481">
        <v>0</v>
      </c>
      <c r="I1481">
        <v>1035</v>
      </c>
      <c r="J1481">
        <v>1133</v>
      </c>
      <c r="K1481">
        <v>1172655</v>
      </c>
      <c r="L1481">
        <v>0</v>
      </c>
      <c r="M1481">
        <v>1172655</v>
      </c>
      <c r="N1481" t="s">
        <v>87</v>
      </c>
      <c r="O1481" t="s">
        <v>1330</v>
      </c>
    </row>
    <row r="1482" spans="1:15" x14ac:dyDescent="0.3">
      <c r="A1482" t="str">
        <f t="shared" si="23"/>
        <v>PPRPHC0000003-XX</v>
      </c>
      <c r="B1482" t="s">
        <v>14</v>
      </c>
      <c r="C1482" t="s">
        <v>1375</v>
      </c>
      <c r="D1482" t="s">
        <v>16</v>
      </c>
      <c r="E1482" t="s">
        <v>1376</v>
      </c>
      <c r="F1482" t="s">
        <v>18</v>
      </c>
      <c r="G1482" t="s">
        <v>1379</v>
      </c>
      <c r="H1482">
        <v>0</v>
      </c>
      <c r="I1482">
        <v>2277</v>
      </c>
      <c r="J1482">
        <v>1133</v>
      </c>
      <c r="K1482">
        <v>2579841</v>
      </c>
      <c r="L1482">
        <v>0</v>
      </c>
      <c r="M1482">
        <v>2579841</v>
      </c>
      <c r="N1482" t="s">
        <v>87</v>
      </c>
      <c r="O1482" t="s">
        <v>1330</v>
      </c>
    </row>
    <row r="1483" spans="1:15" x14ac:dyDescent="0.3">
      <c r="A1483" t="str">
        <f t="shared" si="23"/>
        <v>PPRPHC0000003-XX</v>
      </c>
      <c r="B1483" t="s">
        <v>14</v>
      </c>
      <c r="C1483" t="s">
        <v>1375</v>
      </c>
      <c r="D1483" t="s">
        <v>16</v>
      </c>
      <c r="E1483" t="s">
        <v>1376</v>
      </c>
      <c r="F1483" t="s">
        <v>18</v>
      </c>
      <c r="G1483" t="s">
        <v>1377</v>
      </c>
      <c r="H1483">
        <v>0</v>
      </c>
      <c r="I1483">
        <v>414</v>
      </c>
      <c r="J1483">
        <v>1133</v>
      </c>
      <c r="K1483">
        <v>469062</v>
      </c>
      <c r="L1483">
        <v>0</v>
      </c>
      <c r="M1483">
        <v>469062</v>
      </c>
      <c r="N1483" t="s">
        <v>87</v>
      </c>
      <c r="O1483" t="s">
        <v>1330</v>
      </c>
    </row>
    <row r="1484" spans="1:15" x14ac:dyDescent="0.3">
      <c r="A1484" t="str">
        <f t="shared" si="23"/>
        <v>PPRPHC0000004-XX</v>
      </c>
      <c r="B1484" t="s">
        <v>14</v>
      </c>
      <c r="C1484" t="s">
        <v>1380</v>
      </c>
      <c r="D1484" t="s">
        <v>16</v>
      </c>
      <c r="E1484" t="s">
        <v>1381</v>
      </c>
      <c r="F1484" t="s">
        <v>18</v>
      </c>
      <c r="G1484" t="s">
        <v>1377</v>
      </c>
      <c r="H1484">
        <v>0</v>
      </c>
      <c r="I1484">
        <v>4860</v>
      </c>
      <c r="J1484">
        <v>1195</v>
      </c>
      <c r="K1484">
        <v>5807700</v>
      </c>
      <c r="L1484">
        <v>0</v>
      </c>
      <c r="M1484">
        <v>5807700</v>
      </c>
      <c r="N1484" t="s">
        <v>87</v>
      </c>
      <c r="O1484" t="s">
        <v>1330</v>
      </c>
    </row>
    <row r="1485" spans="1:15" x14ac:dyDescent="0.3">
      <c r="A1485" t="str">
        <f t="shared" si="23"/>
        <v>PPRPHC0000004-XX</v>
      </c>
      <c r="B1485" t="s">
        <v>14</v>
      </c>
      <c r="C1485" t="s">
        <v>1380</v>
      </c>
      <c r="D1485" t="s">
        <v>16</v>
      </c>
      <c r="E1485" t="s">
        <v>1381</v>
      </c>
      <c r="F1485" t="s">
        <v>18</v>
      </c>
      <c r="G1485" t="s">
        <v>1378</v>
      </c>
      <c r="H1485">
        <v>0</v>
      </c>
      <c r="I1485">
        <v>911</v>
      </c>
      <c r="J1485">
        <v>1195</v>
      </c>
      <c r="K1485">
        <v>1088645</v>
      </c>
      <c r="L1485">
        <v>0</v>
      </c>
      <c r="M1485">
        <v>1088645</v>
      </c>
      <c r="N1485" t="s">
        <v>87</v>
      </c>
      <c r="O1485" t="s">
        <v>1330</v>
      </c>
    </row>
    <row r="1486" spans="1:15" x14ac:dyDescent="0.3">
      <c r="A1486" t="str">
        <f t="shared" si="23"/>
        <v>PPRPHC0000004-XX</v>
      </c>
      <c r="B1486" t="s">
        <v>14</v>
      </c>
      <c r="C1486" t="s">
        <v>1380</v>
      </c>
      <c r="D1486" t="s">
        <v>16</v>
      </c>
      <c r="E1486" t="s">
        <v>1381</v>
      </c>
      <c r="F1486" t="s">
        <v>18</v>
      </c>
      <c r="G1486" t="s">
        <v>1379</v>
      </c>
      <c r="H1486">
        <v>0</v>
      </c>
      <c r="I1486">
        <v>2277</v>
      </c>
      <c r="J1486">
        <v>1195</v>
      </c>
      <c r="K1486">
        <v>2721015</v>
      </c>
      <c r="L1486">
        <v>0</v>
      </c>
      <c r="M1486">
        <v>2721015</v>
      </c>
      <c r="N1486" t="s">
        <v>87</v>
      </c>
      <c r="O1486" t="s">
        <v>1330</v>
      </c>
    </row>
    <row r="1487" spans="1:15" x14ac:dyDescent="0.3">
      <c r="A1487" t="str">
        <f t="shared" si="23"/>
        <v>PPRPHC0000005-XX</v>
      </c>
      <c r="B1487" t="s">
        <v>14</v>
      </c>
      <c r="C1487" t="s">
        <v>1382</v>
      </c>
      <c r="D1487" t="s">
        <v>16</v>
      </c>
      <c r="E1487" t="s">
        <v>1383</v>
      </c>
      <c r="F1487" t="s">
        <v>18</v>
      </c>
      <c r="G1487" t="s">
        <v>1377</v>
      </c>
      <c r="H1487">
        <v>0</v>
      </c>
      <c r="I1487">
        <v>1346</v>
      </c>
      <c r="J1487">
        <v>1494</v>
      </c>
      <c r="K1487">
        <v>2010924</v>
      </c>
      <c r="L1487">
        <v>0</v>
      </c>
      <c r="M1487">
        <v>2010924</v>
      </c>
      <c r="N1487" t="s">
        <v>87</v>
      </c>
      <c r="O1487" t="s">
        <v>1330</v>
      </c>
    </row>
    <row r="1488" spans="1:15" x14ac:dyDescent="0.3">
      <c r="A1488" t="str">
        <f t="shared" si="23"/>
        <v>PPRPHC0000005-XX</v>
      </c>
      <c r="B1488" t="s">
        <v>14</v>
      </c>
      <c r="C1488" t="s">
        <v>1382</v>
      </c>
      <c r="D1488" t="s">
        <v>16</v>
      </c>
      <c r="E1488" t="s">
        <v>1383</v>
      </c>
      <c r="F1488" t="s">
        <v>18</v>
      </c>
      <c r="G1488" t="s">
        <v>1378</v>
      </c>
      <c r="H1488">
        <v>0</v>
      </c>
      <c r="I1488">
        <v>725</v>
      </c>
      <c r="J1488">
        <v>1494</v>
      </c>
      <c r="K1488">
        <v>1083150</v>
      </c>
      <c r="L1488">
        <v>0</v>
      </c>
      <c r="M1488">
        <v>1083150</v>
      </c>
      <c r="N1488" t="s">
        <v>87</v>
      </c>
      <c r="O1488" t="s">
        <v>1330</v>
      </c>
    </row>
    <row r="1489" spans="1:15" x14ac:dyDescent="0.3">
      <c r="A1489" t="str">
        <f t="shared" si="23"/>
        <v>PPRPHC0000005-XX</v>
      </c>
      <c r="B1489" t="s">
        <v>14</v>
      </c>
      <c r="C1489" t="s">
        <v>1382</v>
      </c>
      <c r="D1489" t="s">
        <v>16</v>
      </c>
      <c r="E1489" t="s">
        <v>1383</v>
      </c>
      <c r="F1489" t="s">
        <v>18</v>
      </c>
      <c r="G1489" t="s">
        <v>1379</v>
      </c>
      <c r="H1489">
        <v>0</v>
      </c>
      <c r="I1489">
        <v>414</v>
      </c>
      <c r="J1489">
        <v>1494</v>
      </c>
      <c r="K1489">
        <v>618516</v>
      </c>
      <c r="L1489">
        <v>0</v>
      </c>
      <c r="M1489">
        <v>618516</v>
      </c>
      <c r="N1489" t="s">
        <v>87</v>
      </c>
      <c r="O1489" t="s">
        <v>1330</v>
      </c>
    </row>
    <row r="1490" spans="1:15" x14ac:dyDescent="0.3">
      <c r="A1490" t="str">
        <f t="shared" si="23"/>
        <v>PPRPHC0000007-XX</v>
      </c>
      <c r="B1490" t="s">
        <v>14</v>
      </c>
      <c r="C1490" t="s">
        <v>1384</v>
      </c>
      <c r="D1490" t="s">
        <v>16</v>
      </c>
      <c r="E1490" t="s">
        <v>1385</v>
      </c>
      <c r="F1490" t="s">
        <v>18</v>
      </c>
      <c r="G1490" t="s">
        <v>1377</v>
      </c>
      <c r="H1490">
        <v>0</v>
      </c>
      <c r="I1490">
        <v>774</v>
      </c>
      <c r="J1490">
        <v>1617</v>
      </c>
      <c r="K1490">
        <v>1251558</v>
      </c>
      <c r="L1490">
        <v>0</v>
      </c>
      <c r="M1490">
        <v>1251558</v>
      </c>
      <c r="N1490" t="s">
        <v>87</v>
      </c>
      <c r="O1490" t="s">
        <v>1330</v>
      </c>
    </row>
    <row r="1491" spans="1:15" x14ac:dyDescent="0.3">
      <c r="A1491" t="str">
        <f t="shared" si="23"/>
        <v>PPRPHC0000007-XX</v>
      </c>
      <c r="B1491" t="s">
        <v>14</v>
      </c>
      <c r="C1491" t="s">
        <v>1384</v>
      </c>
      <c r="D1491" t="s">
        <v>16</v>
      </c>
      <c r="E1491" t="s">
        <v>1385</v>
      </c>
      <c r="F1491" t="s">
        <v>18</v>
      </c>
      <c r="G1491" t="s">
        <v>1379</v>
      </c>
      <c r="H1491">
        <v>0</v>
      </c>
      <c r="I1491">
        <v>155</v>
      </c>
      <c r="J1491">
        <v>1617</v>
      </c>
      <c r="K1491">
        <v>250635</v>
      </c>
      <c r="L1491">
        <v>0</v>
      </c>
      <c r="M1491">
        <v>250635</v>
      </c>
      <c r="N1491" t="s">
        <v>87</v>
      </c>
      <c r="O1491" t="s">
        <v>1330</v>
      </c>
    </row>
    <row r="1492" spans="1:15" x14ac:dyDescent="0.3">
      <c r="A1492" t="str">
        <f t="shared" si="23"/>
        <v>PPRPHC0000007-XX</v>
      </c>
      <c r="B1492" t="s">
        <v>14</v>
      </c>
      <c r="C1492" t="s">
        <v>1384</v>
      </c>
      <c r="D1492" t="s">
        <v>16</v>
      </c>
      <c r="E1492" t="s">
        <v>1385</v>
      </c>
      <c r="F1492" t="s">
        <v>18</v>
      </c>
      <c r="G1492" t="s">
        <v>1378</v>
      </c>
      <c r="H1492">
        <v>0</v>
      </c>
      <c r="I1492">
        <v>386</v>
      </c>
      <c r="J1492">
        <v>1617</v>
      </c>
      <c r="K1492">
        <v>624162</v>
      </c>
      <c r="L1492">
        <v>0</v>
      </c>
      <c r="M1492">
        <v>624162</v>
      </c>
      <c r="N1492" t="s">
        <v>87</v>
      </c>
      <c r="O1492" t="s">
        <v>1330</v>
      </c>
    </row>
    <row r="1493" spans="1:15" x14ac:dyDescent="0.3">
      <c r="A1493" t="str">
        <f t="shared" si="23"/>
        <v>PPRPHC0000008-XX</v>
      </c>
      <c r="B1493" t="s">
        <v>14</v>
      </c>
      <c r="C1493" t="s">
        <v>1386</v>
      </c>
      <c r="D1493" t="s">
        <v>16</v>
      </c>
      <c r="E1493" t="s">
        <v>1387</v>
      </c>
      <c r="F1493" t="s">
        <v>18</v>
      </c>
      <c r="G1493" t="s">
        <v>1378</v>
      </c>
      <c r="H1493">
        <v>0</v>
      </c>
      <c r="I1493">
        <v>186</v>
      </c>
      <c r="J1493">
        <v>1833</v>
      </c>
      <c r="K1493">
        <v>340938</v>
      </c>
      <c r="L1493">
        <v>0</v>
      </c>
      <c r="M1493">
        <v>340938</v>
      </c>
      <c r="N1493" t="s">
        <v>87</v>
      </c>
      <c r="O1493" t="s">
        <v>1330</v>
      </c>
    </row>
    <row r="1494" spans="1:15" x14ac:dyDescent="0.3">
      <c r="A1494" t="str">
        <f t="shared" si="23"/>
        <v>PPRPHC0000008-XX</v>
      </c>
      <c r="B1494" t="s">
        <v>14</v>
      </c>
      <c r="C1494" t="s">
        <v>1386</v>
      </c>
      <c r="D1494" t="s">
        <v>16</v>
      </c>
      <c r="E1494" t="s">
        <v>1387</v>
      </c>
      <c r="F1494" t="s">
        <v>18</v>
      </c>
      <c r="G1494" t="s">
        <v>1377</v>
      </c>
      <c r="H1494">
        <v>0</v>
      </c>
      <c r="I1494">
        <v>250</v>
      </c>
      <c r="J1494">
        <v>1833</v>
      </c>
      <c r="K1494">
        <v>458250</v>
      </c>
      <c r="L1494">
        <v>0</v>
      </c>
      <c r="M1494">
        <v>458250</v>
      </c>
      <c r="N1494" t="s">
        <v>87</v>
      </c>
      <c r="O1494" t="s">
        <v>1330</v>
      </c>
    </row>
    <row r="1495" spans="1:15" x14ac:dyDescent="0.3">
      <c r="A1495" t="str">
        <f t="shared" si="23"/>
        <v>PPRPHC0000011-XX</v>
      </c>
      <c r="B1495" t="s">
        <v>14</v>
      </c>
      <c r="C1495" t="s">
        <v>1388</v>
      </c>
      <c r="D1495" t="s">
        <v>16</v>
      </c>
      <c r="E1495" t="s">
        <v>1389</v>
      </c>
      <c r="F1495" t="s">
        <v>18</v>
      </c>
      <c r="G1495" t="s">
        <v>1378</v>
      </c>
      <c r="H1495">
        <v>0</v>
      </c>
      <c r="I1495">
        <v>88</v>
      </c>
      <c r="J1495">
        <v>2451</v>
      </c>
      <c r="K1495">
        <v>215688</v>
      </c>
      <c r="L1495">
        <v>0</v>
      </c>
      <c r="M1495">
        <v>215688</v>
      </c>
      <c r="N1495" t="s">
        <v>87</v>
      </c>
      <c r="O1495" t="s">
        <v>1330</v>
      </c>
    </row>
    <row r="1496" spans="1:15" x14ac:dyDescent="0.3">
      <c r="A1496" t="str">
        <f t="shared" si="23"/>
        <v>PPRPHC0000011-XX</v>
      </c>
      <c r="B1496" t="s">
        <v>14</v>
      </c>
      <c r="C1496" t="s">
        <v>1388</v>
      </c>
      <c r="D1496" t="s">
        <v>16</v>
      </c>
      <c r="E1496" t="s">
        <v>1389</v>
      </c>
      <c r="F1496" t="s">
        <v>18</v>
      </c>
      <c r="G1496" t="s">
        <v>1377</v>
      </c>
      <c r="H1496">
        <v>0</v>
      </c>
      <c r="I1496">
        <v>89</v>
      </c>
      <c r="J1496">
        <v>2451</v>
      </c>
      <c r="K1496">
        <v>218139</v>
      </c>
      <c r="L1496">
        <v>0</v>
      </c>
      <c r="M1496">
        <v>218139</v>
      </c>
      <c r="N1496" t="s">
        <v>87</v>
      </c>
      <c r="O1496" t="s">
        <v>1330</v>
      </c>
    </row>
    <row r="1497" spans="1:15" x14ac:dyDescent="0.3">
      <c r="A1497" t="str">
        <f t="shared" si="23"/>
        <v>PPRPHC0000013-XX</v>
      </c>
      <c r="B1497" t="s">
        <v>14</v>
      </c>
      <c r="C1497" t="s">
        <v>1390</v>
      </c>
      <c r="D1497" t="s">
        <v>16</v>
      </c>
      <c r="E1497" t="s">
        <v>1391</v>
      </c>
      <c r="F1497" t="s">
        <v>18</v>
      </c>
      <c r="G1497" t="s">
        <v>1377</v>
      </c>
      <c r="H1497">
        <v>0</v>
      </c>
      <c r="I1497">
        <v>35</v>
      </c>
      <c r="J1497">
        <v>3564</v>
      </c>
      <c r="K1497">
        <v>124740</v>
      </c>
      <c r="L1497">
        <v>0</v>
      </c>
      <c r="M1497">
        <v>124740</v>
      </c>
      <c r="N1497" t="s">
        <v>87</v>
      </c>
      <c r="O1497" t="s">
        <v>1330</v>
      </c>
    </row>
    <row r="1498" spans="1:15" x14ac:dyDescent="0.3">
      <c r="A1498" t="str">
        <f t="shared" si="23"/>
        <v>W11-0M-207-IV</v>
      </c>
      <c r="B1498" t="s">
        <v>14</v>
      </c>
      <c r="C1498" t="s">
        <v>1392</v>
      </c>
      <c r="D1498" t="s">
        <v>214</v>
      </c>
      <c r="E1498" t="s">
        <v>1393</v>
      </c>
      <c r="F1498" t="s">
        <v>18</v>
      </c>
      <c r="G1498" t="s">
        <v>19</v>
      </c>
      <c r="H1498">
        <v>0</v>
      </c>
      <c r="I1498">
        <v>30</v>
      </c>
      <c r="J1498">
        <v>12600</v>
      </c>
      <c r="K1498">
        <v>378000</v>
      </c>
      <c r="L1498">
        <v>0</v>
      </c>
      <c r="M1498">
        <v>378000</v>
      </c>
      <c r="N1498" t="s">
        <v>831</v>
      </c>
      <c r="O1498" t="s">
        <v>1330</v>
      </c>
    </row>
    <row r="1499" spans="1:15" x14ac:dyDescent="0.3">
      <c r="A1499" t="str">
        <f t="shared" si="23"/>
        <v>W11-0M-207-IV</v>
      </c>
      <c r="B1499" t="s">
        <v>14</v>
      </c>
      <c r="C1499" t="s">
        <v>1392</v>
      </c>
      <c r="D1499" t="s">
        <v>214</v>
      </c>
      <c r="E1499" t="s">
        <v>1393</v>
      </c>
      <c r="F1499" t="s">
        <v>18</v>
      </c>
      <c r="G1499" t="s">
        <v>111</v>
      </c>
      <c r="H1499">
        <v>0</v>
      </c>
      <c r="I1499">
        <v>30</v>
      </c>
      <c r="J1499">
        <v>12600</v>
      </c>
      <c r="K1499">
        <v>378000</v>
      </c>
      <c r="L1499">
        <v>0</v>
      </c>
      <c r="M1499">
        <v>378000</v>
      </c>
      <c r="N1499" t="s">
        <v>831</v>
      </c>
      <c r="O1499" t="s">
        <v>1330</v>
      </c>
    </row>
    <row r="1500" spans="1:15" x14ac:dyDescent="0.3">
      <c r="A1500" t="str">
        <f t="shared" si="23"/>
        <v>W11-0M-207-IV</v>
      </c>
      <c r="B1500" t="s">
        <v>14</v>
      </c>
      <c r="C1500" t="s">
        <v>1392</v>
      </c>
      <c r="D1500" t="s">
        <v>214</v>
      </c>
      <c r="E1500" t="s">
        <v>1393</v>
      </c>
      <c r="F1500" t="s">
        <v>18</v>
      </c>
      <c r="G1500" t="s">
        <v>174</v>
      </c>
      <c r="H1500">
        <v>0</v>
      </c>
      <c r="I1500">
        <v>1500</v>
      </c>
      <c r="J1500">
        <v>12600</v>
      </c>
      <c r="K1500">
        <v>18900000</v>
      </c>
      <c r="L1500">
        <v>0</v>
      </c>
      <c r="M1500">
        <v>18900000</v>
      </c>
      <c r="N1500" t="s">
        <v>831</v>
      </c>
      <c r="O1500" t="s">
        <v>1330</v>
      </c>
    </row>
    <row r="1501" spans="1:15" x14ac:dyDescent="0.3">
      <c r="A1501" t="str">
        <f t="shared" si="23"/>
        <v>W11-0M-207-IV</v>
      </c>
      <c r="B1501" t="s">
        <v>14</v>
      </c>
      <c r="C1501" t="s">
        <v>1392</v>
      </c>
      <c r="D1501" t="s">
        <v>214</v>
      </c>
      <c r="E1501" t="s">
        <v>1393</v>
      </c>
      <c r="F1501" t="s">
        <v>18</v>
      </c>
      <c r="G1501" t="s">
        <v>49</v>
      </c>
      <c r="H1501">
        <v>0</v>
      </c>
      <c r="I1501">
        <v>10</v>
      </c>
      <c r="J1501">
        <v>12600</v>
      </c>
      <c r="K1501">
        <v>126000</v>
      </c>
      <c r="L1501">
        <v>0</v>
      </c>
      <c r="M1501">
        <v>126000</v>
      </c>
      <c r="N1501" t="s">
        <v>831</v>
      </c>
      <c r="O1501" t="s">
        <v>1330</v>
      </c>
    </row>
    <row r="1502" spans="1:15" x14ac:dyDescent="0.3">
      <c r="A1502" t="str">
        <f t="shared" si="23"/>
        <v>W11-0M-207-IV</v>
      </c>
      <c r="B1502" t="s">
        <v>14</v>
      </c>
      <c r="C1502" t="s">
        <v>1392</v>
      </c>
      <c r="D1502" t="s">
        <v>214</v>
      </c>
      <c r="E1502" t="s">
        <v>1393</v>
      </c>
      <c r="F1502" t="s">
        <v>18</v>
      </c>
      <c r="G1502" t="s">
        <v>35</v>
      </c>
      <c r="H1502">
        <v>0</v>
      </c>
      <c r="I1502">
        <v>600</v>
      </c>
      <c r="J1502">
        <v>12600</v>
      </c>
      <c r="K1502">
        <v>7560000</v>
      </c>
      <c r="L1502">
        <v>0</v>
      </c>
      <c r="M1502">
        <v>7560000</v>
      </c>
      <c r="N1502" t="s">
        <v>831</v>
      </c>
      <c r="O1502" t="s">
        <v>1330</v>
      </c>
    </row>
    <row r="1503" spans="1:15" x14ac:dyDescent="0.3">
      <c r="A1503" t="str">
        <f t="shared" si="23"/>
        <v>W11-0M-660-FIV</v>
      </c>
      <c r="B1503" t="s">
        <v>14</v>
      </c>
      <c r="C1503" t="s">
        <v>2024</v>
      </c>
      <c r="D1503" t="s">
        <v>195</v>
      </c>
      <c r="E1503" t="s">
        <v>2025</v>
      </c>
      <c r="F1503" t="s">
        <v>18</v>
      </c>
      <c r="G1503" t="s">
        <v>49</v>
      </c>
      <c r="H1503">
        <v>0</v>
      </c>
      <c r="I1503">
        <v>19</v>
      </c>
      <c r="J1503">
        <v>12940</v>
      </c>
      <c r="K1503">
        <v>245860</v>
      </c>
      <c r="L1503">
        <v>0</v>
      </c>
      <c r="M1503">
        <v>245860</v>
      </c>
      <c r="N1503" t="s">
        <v>831</v>
      </c>
      <c r="O1503" t="s">
        <v>1330</v>
      </c>
    </row>
    <row r="1504" spans="1:15" x14ac:dyDescent="0.3">
      <c r="A1504" t="str">
        <f t="shared" si="23"/>
        <v>W11-2B-126C-XX</v>
      </c>
      <c r="B1504" t="s">
        <v>14</v>
      </c>
      <c r="C1504" t="s">
        <v>2026</v>
      </c>
      <c r="D1504" t="s">
        <v>16</v>
      </c>
      <c r="E1504" t="s">
        <v>2027</v>
      </c>
      <c r="F1504" t="s">
        <v>18</v>
      </c>
      <c r="G1504" t="s">
        <v>889</v>
      </c>
      <c r="H1504">
        <v>0</v>
      </c>
      <c r="I1504">
        <v>97</v>
      </c>
      <c r="J1504">
        <v>40120</v>
      </c>
      <c r="K1504">
        <v>3891640</v>
      </c>
      <c r="L1504">
        <v>0</v>
      </c>
      <c r="M1504">
        <v>3891640</v>
      </c>
      <c r="N1504" t="s">
        <v>2028</v>
      </c>
      <c r="O1504" t="s">
        <v>1330</v>
      </c>
    </row>
    <row r="1505" spans="1:15" x14ac:dyDescent="0.3">
      <c r="A1505" t="str">
        <f t="shared" si="23"/>
        <v>W11-2M-202A-XX</v>
      </c>
      <c r="B1505" t="s">
        <v>14</v>
      </c>
      <c r="C1505" t="s">
        <v>1396</v>
      </c>
      <c r="D1505" t="s">
        <v>16</v>
      </c>
      <c r="E1505" t="s">
        <v>1397</v>
      </c>
      <c r="F1505" t="s">
        <v>18</v>
      </c>
      <c r="G1505" t="s">
        <v>1371</v>
      </c>
      <c r="H1505">
        <v>0</v>
      </c>
      <c r="I1505">
        <v>-2</v>
      </c>
      <c r="J1505">
        <v>18390</v>
      </c>
      <c r="K1505">
        <v>-36780</v>
      </c>
      <c r="L1505">
        <v>0</v>
      </c>
      <c r="M1505">
        <v>-36780</v>
      </c>
      <c r="N1505" t="s">
        <v>1398</v>
      </c>
      <c r="O1505" t="s">
        <v>1330</v>
      </c>
    </row>
    <row r="1506" spans="1:15" x14ac:dyDescent="0.3">
      <c r="A1506" t="str">
        <f t="shared" si="23"/>
        <v>W11-2M-202A-XX</v>
      </c>
      <c r="B1506" t="s">
        <v>14</v>
      </c>
      <c r="C1506" t="s">
        <v>1396</v>
      </c>
      <c r="D1506" t="s">
        <v>16</v>
      </c>
      <c r="E1506" t="s">
        <v>1397</v>
      </c>
      <c r="F1506" t="s">
        <v>18</v>
      </c>
      <c r="G1506" t="s">
        <v>26</v>
      </c>
      <c r="H1506">
        <v>0</v>
      </c>
      <c r="I1506">
        <v>100</v>
      </c>
      <c r="J1506">
        <v>18390</v>
      </c>
      <c r="K1506">
        <v>1839000</v>
      </c>
      <c r="L1506">
        <v>0</v>
      </c>
      <c r="M1506">
        <v>1839000</v>
      </c>
      <c r="N1506" t="s">
        <v>1398</v>
      </c>
      <c r="O1506" t="s">
        <v>1330</v>
      </c>
    </row>
    <row r="1507" spans="1:15" x14ac:dyDescent="0.3">
      <c r="A1507" t="str">
        <f t="shared" si="23"/>
        <v>W11-3V-332-WW</v>
      </c>
      <c r="B1507" t="s">
        <v>14</v>
      </c>
      <c r="C1507" t="s">
        <v>1399</v>
      </c>
      <c r="D1507" t="s">
        <v>28</v>
      </c>
      <c r="E1507" t="s">
        <v>1400</v>
      </c>
      <c r="F1507" t="s">
        <v>18</v>
      </c>
      <c r="G1507" t="s">
        <v>1349</v>
      </c>
      <c r="H1507">
        <v>0</v>
      </c>
      <c r="I1507">
        <v>31985</v>
      </c>
      <c r="J1507">
        <v>670</v>
      </c>
      <c r="K1507">
        <v>21429950</v>
      </c>
      <c r="L1507">
        <v>0</v>
      </c>
      <c r="M1507">
        <v>21429950</v>
      </c>
      <c r="N1507" t="s">
        <v>1401</v>
      </c>
      <c r="O1507" t="s">
        <v>1330</v>
      </c>
    </row>
    <row r="1508" spans="1:15" x14ac:dyDescent="0.3">
      <c r="A1508" t="str">
        <f t="shared" si="23"/>
        <v>W11-3V-333-IV</v>
      </c>
      <c r="B1508" t="s">
        <v>14</v>
      </c>
      <c r="C1508" t="s">
        <v>1402</v>
      </c>
      <c r="D1508" t="s">
        <v>214</v>
      </c>
      <c r="E1508" t="s">
        <v>1403</v>
      </c>
      <c r="F1508" t="s">
        <v>18</v>
      </c>
      <c r="G1508" t="s">
        <v>1349</v>
      </c>
      <c r="H1508">
        <v>0</v>
      </c>
      <c r="I1508">
        <v>9145</v>
      </c>
      <c r="J1508">
        <v>670</v>
      </c>
      <c r="K1508">
        <v>6127150</v>
      </c>
      <c r="L1508">
        <v>0</v>
      </c>
      <c r="M1508">
        <v>6127150</v>
      </c>
      <c r="N1508" t="s">
        <v>1401</v>
      </c>
      <c r="O1508" t="s">
        <v>1330</v>
      </c>
    </row>
    <row r="1509" spans="1:15" x14ac:dyDescent="0.3">
      <c r="A1509" t="str">
        <f t="shared" si="23"/>
        <v>W11-3V-348-FIV</v>
      </c>
      <c r="B1509" t="s">
        <v>14</v>
      </c>
      <c r="C1509" t="s">
        <v>2029</v>
      </c>
      <c r="D1509" t="s">
        <v>195</v>
      </c>
      <c r="E1509" t="s">
        <v>2030</v>
      </c>
      <c r="F1509" t="s">
        <v>18</v>
      </c>
      <c r="G1509" t="s">
        <v>1349</v>
      </c>
      <c r="H1509">
        <v>0</v>
      </c>
      <c r="I1509">
        <v>0</v>
      </c>
      <c r="J1509">
        <v>730</v>
      </c>
      <c r="K1509">
        <v>0</v>
      </c>
      <c r="L1509">
        <v>0</v>
      </c>
      <c r="M1509">
        <v>0</v>
      </c>
      <c r="N1509" t="s">
        <v>1401</v>
      </c>
      <c r="O1509" t="s">
        <v>1330</v>
      </c>
    </row>
    <row r="1510" spans="1:15" x14ac:dyDescent="0.3">
      <c r="A1510" t="str">
        <f t="shared" si="23"/>
        <v>W11-3V-354-GY</v>
      </c>
      <c r="B1510" t="s">
        <v>14</v>
      </c>
      <c r="C1510" t="s">
        <v>2031</v>
      </c>
      <c r="D1510" t="s">
        <v>47</v>
      </c>
      <c r="E1510" t="s">
        <v>2032</v>
      </c>
      <c r="F1510" t="s">
        <v>18</v>
      </c>
      <c r="G1510" t="s">
        <v>1349</v>
      </c>
      <c r="H1510">
        <v>0</v>
      </c>
      <c r="I1510">
        <v>1680</v>
      </c>
      <c r="J1510">
        <v>730</v>
      </c>
      <c r="K1510">
        <v>1226400</v>
      </c>
      <c r="L1510">
        <v>0</v>
      </c>
      <c r="M1510">
        <v>1226400</v>
      </c>
      <c r="N1510" t="s">
        <v>1401</v>
      </c>
      <c r="O1510" t="s">
        <v>1330</v>
      </c>
    </row>
    <row r="1511" spans="1:15" x14ac:dyDescent="0.3">
      <c r="A1511" t="str">
        <f t="shared" si="23"/>
        <v>W11-3V-358-OS</v>
      </c>
      <c r="B1511" t="s">
        <v>14</v>
      </c>
      <c r="C1511" t="s">
        <v>1404</v>
      </c>
      <c r="D1511" t="s">
        <v>264</v>
      </c>
      <c r="E1511" t="s">
        <v>1405</v>
      </c>
      <c r="F1511" t="s">
        <v>18</v>
      </c>
      <c r="G1511" t="s">
        <v>1349</v>
      </c>
      <c r="H1511">
        <v>0</v>
      </c>
      <c r="I1511">
        <v>1000</v>
      </c>
      <c r="J1511">
        <v>730</v>
      </c>
      <c r="K1511">
        <v>730000</v>
      </c>
      <c r="L1511">
        <v>0</v>
      </c>
      <c r="M1511">
        <v>730000</v>
      </c>
      <c r="N1511" t="s">
        <v>1401</v>
      </c>
      <c r="O1511" t="s">
        <v>1330</v>
      </c>
    </row>
    <row r="1512" spans="1:15" x14ac:dyDescent="0.3">
      <c r="A1512" t="str">
        <f t="shared" si="23"/>
        <v>W11-3V-360-HBR</v>
      </c>
      <c r="B1512" t="s">
        <v>14</v>
      </c>
      <c r="C1512" t="s">
        <v>1406</v>
      </c>
      <c r="D1512" t="s">
        <v>784</v>
      </c>
      <c r="E1512" t="s">
        <v>1407</v>
      </c>
      <c r="F1512" t="s">
        <v>18</v>
      </c>
      <c r="G1512" t="s">
        <v>1349</v>
      </c>
      <c r="H1512">
        <v>0</v>
      </c>
      <c r="I1512">
        <v>1000</v>
      </c>
      <c r="J1512">
        <v>730</v>
      </c>
      <c r="K1512">
        <v>730000</v>
      </c>
      <c r="L1512">
        <v>0</v>
      </c>
      <c r="M1512">
        <v>730000</v>
      </c>
      <c r="N1512" t="s">
        <v>1401</v>
      </c>
      <c r="O1512" t="s">
        <v>1330</v>
      </c>
    </row>
    <row r="1513" spans="1:15" x14ac:dyDescent="0.3">
      <c r="A1513" t="str">
        <f t="shared" si="23"/>
        <v>W11-3V-361-NCC</v>
      </c>
      <c r="B1513" t="s">
        <v>14</v>
      </c>
      <c r="C1513" t="s">
        <v>1408</v>
      </c>
      <c r="D1513" t="s">
        <v>220</v>
      </c>
      <c r="E1513" t="s">
        <v>1409</v>
      </c>
      <c r="F1513" t="s">
        <v>18</v>
      </c>
      <c r="G1513" t="s">
        <v>1349</v>
      </c>
      <c r="H1513">
        <v>0</v>
      </c>
      <c r="I1513">
        <v>1650</v>
      </c>
      <c r="J1513">
        <v>730</v>
      </c>
      <c r="K1513">
        <v>1204500</v>
      </c>
      <c r="L1513">
        <v>0</v>
      </c>
      <c r="M1513">
        <v>1204500</v>
      </c>
      <c r="N1513" t="s">
        <v>1401</v>
      </c>
      <c r="O1513" t="s">
        <v>1330</v>
      </c>
    </row>
    <row r="1514" spans="1:15" x14ac:dyDescent="0.3">
      <c r="A1514" t="str">
        <f t="shared" si="23"/>
        <v>W11-3V-365-GYC</v>
      </c>
      <c r="B1514" t="s">
        <v>14</v>
      </c>
      <c r="C1514" t="s">
        <v>1411</v>
      </c>
      <c r="D1514" t="s">
        <v>1394</v>
      </c>
      <c r="E1514" t="s">
        <v>1412</v>
      </c>
      <c r="F1514" t="s">
        <v>18</v>
      </c>
      <c r="G1514" t="s">
        <v>1349</v>
      </c>
      <c r="H1514">
        <v>0</v>
      </c>
      <c r="I1514">
        <v>8775</v>
      </c>
      <c r="J1514">
        <v>730</v>
      </c>
      <c r="K1514">
        <v>6405750</v>
      </c>
      <c r="L1514">
        <v>0</v>
      </c>
      <c r="M1514">
        <v>6405750</v>
      </c>
      <c r="N1514" t="s">
        <v>1401</v>
      </c>
      <c r="O1514" t="s">
        <v>1330</v>
      </c>
    </row>
    <row r="1515" spans="1:15" x14ac:dyDescent="0.3">
      <c r="A1515" t="str">
        <f t="shared" si="23"/>
        <v>W12-0L-782-IVA</v>
      </c>
      <c r="B1515" t="s">
        <v>14</v>
      </c>
      <c r="C1515" t="s">
        <v>1413</v>
      </c>
      <c r="D1515" t="s">
        <v>1410</v>
      </c>
      <c r="E1515" t="s">
        <v>1414</v>
      </c>
      <c r="F1515" t="s">
        <v>18</v>
      </c>
      <c r="G1515" t="s">
        <v>174</v>
      </c>
      <c r="H1515">
        <v>0</v>
      </c>
      <c r="I1515">
        <v>100</v>
      </c>
      <c r="J1515">
        <v>46140</v>
      </c>
      <c r="K1515">
        <v>4614000</v>
      </c>
      <c r="L1515">
        <v>0</v>
      </c>
      <c r="M1515">
        <v>4614000</v>
      </c>
      <c r="N1515" t="s">
        <v>683</v>
      </c>
      <c r="O1515" t="s">
        <v>1330</v>
      </c>
    </row>
    <row r="1516" spans="1:15" x14ac:dyDescent="0.3">
      <c r="A1516" t="str">
        <f t="shared" si="23"/>
        <v>W12-0L-783-GYA</v>
      </c>
      <c r="B1516" t="s">
        <v>14</v>
      </c>
      <c r="C1516" t="s">
        <v>2033</v>
      </c>
      <c r="D1516" t="s">
        <v>2034</v>
      </c>
      <c r="E1516" t="s">
        <v>2035</v>
      </c>
      <c r="F1516" t="s">
        <v>18</v>
      </c>
      <c r="G1516" t="s">
        <v>174</v>
      </c>
      <c r="H1516">
        <v>0</v>
      </c>
      <c r="I1516">
        <v>70</v>
      </c>
      <c r="J1516">
        <v>46140</v>
      </c>
      <c r="K1516">
        <v>3229800</v>
      </c>
      <c r="L1516">
        <v>0</v>
      </c>
      <c r="M1516">
        <v>3229800</v>
      </c>
      <c r="N1516" t="s">
        <v>683</v>
      </c>
      <c r="O1516" t="s">
        <v>1330</v>
      </c>
    </row>
    <row r="1517" spans="1:15" x14ac:dyDescent="0.3">
      <c r="A1517" t="str">
        <f t="shared" si="23"/>
        <v>W12-0M-168A-IV</v>
      </c>
      <c r="B1517" t="s">
        <v>14</v>
      </c>
      <c r="C1517" t="s">
        <v>1415</v>
      </c>
      <c r="D1517" t="s">
        <v>214</v>
      </c>
      <c r="E1517" t="s">
        <v>1416</v>
      </c>
      <c r="F1517" t="s">
        <v>18</v>
      </c>
      <c r="G1517" t="s">
        <v>174</v>
      </c>
      <c r="H1517">
        <v>0</v>
      </c>
      <c r="I1517">
        <v>5</v>
      </c>
      <c r="J1517">
        <v>9890</v>
      </c>
      <c r="K1517">
        <v>49450</v>
      </c>
      <c r="L1517">
        <v>0</v>
      </c>
      <c r="M1517">
        <v>49450</v>
      </c>
      <c r="N1517" t="s">
        <v>1417</v>
      </c>
      <c r="O1517" t="s">
        <v>1330</v>
      </c>
    </row>
    <row r="1518" spans="1:15" x14ac:dyDescent="0.3">
      <c r="A1518" t="str">
        <f t="shared" si="23"/>
        <v>W12-0M-355-HBR</v>
      </c>
      <c r="B1518" t="s">
        <v>14</v>
      </c>
      <c r="C1518" t="s">
        <v>1419</v>
      </c>
      <c r="D1518" t="s">
        <v>784</v>
      </c>
      <c r="E1518" t="s">
        <v>1420</v>
      </c>
      <c r="F1518" t="s">
        <v>18</v>
      </c>
      <c r="G1518" t="s">
        <v>49</v>
      </c>
      <c r="H1518">
        <v>0</v>
      </c>
      <c r="I1518">
        <v>280</v>
      </c>
      <c r="J1518">
        <v>12940</v>
      </c>
      <c r="K1518">
        <v>3623200</v>
      </c>
      <c r="L1518">
        <v>0</v>
      </c>
      <c r="M1518">
        <v>3623200</v>
      </c>
      <c r="N1518" t="s">
        <v>1421</v>
      </c>
      <c r="O1518" t="s">
        <v>1330</v>
      </c>
    </row>
    <row r="1519" spans="1:15" x14ac:dyDescent="0.3">
      <c r="A1519" t="str">
        <f t="shared" si="23"/>
        <v>W12-0M-360-GYC</v>
      </c>
      <c r="B1519" t="s">
        <v>14</v>
      </c>
      <c r="C1519" t="s">
        <v>1422</v>
      </c>
      <c r="D1519" t="s">
        <v>1394</v>
      </c>
      <c r="E1519" t="s">
        <v>1395</v>
      </c>
      <c r="F1519" t="s">
        <v>18</v>
      </c>
      <c r="G1519" t="s">
        <v>19</v>
      </c>
      <c r="H1519">
        <v>0</v>
      </c>
      <c r="I1519">
        <v>100</v>
      </c>
      <c r="J1519">
        <v>12940</v>
      </c>
      <c r="K1519">
        <v>1294000</v>
      </c>
      <c r="L1519">
        <v>0</v>
      </c>
      <c r="M1519">
        <v>1294000</v>
      </c>
      <c r="N1519" t="s">
        <v>831</v>
      </c>
      <c r="O1519" t="s">
        <v>1330</v>
      </c>
    </row>
    <row r="1520" spans="1:15" x14ac:dyDescent="0.3">
      <c r="A1520" t="str">
        <f t="shared" si="23"/>
        <v>W13-2B-210-XX</v>
      </c>
      <c r="B1520" t="s">
        <v>14</v>
      </c>
      <c r="C1520" t="s">
        <v>1425</v>
      </c>
      <c r="D1520" t="s">
        <v>16</v>
      </c>
      <c r="E1520" t="s">
        <v>1426</v>
      </c>
      <c r="F1520" t="s">
        <v>18</v>
      </c>
      <c r="G1520" t="s">
        <v>1371</v>
      </c>
      <c r="H1520">
        <v>0</v>
      </c>
      <c r="I1520">
        <v>-2</v>
      </c>
      <c r="J1520">
        <v>10160</v>
      </c>
      <c r="K1520">
        <v>-20320</v>
      </c>
      <c r="L1520">
        <v>0</v>
      </c>
      <c r="M1520">
        <v>-20320</v>
      </c>
      <c r="N1520" t="s">
        <v>1398</v>
      </c>
      <c r="O1520" t="s">
        <v>1330</v>
      </c>
    </row>
    <row r="1521" spans="1:15" x14ac:dyDescent="0.3">
      <c r="A1521" t="str">
        <f t="shared" si="23"/>
        <v>W13-2B-210-XX</v>
      </c>
      <c r="B1521" t="s">
        <v>14</v>
      </c>
      <c r="C1521" t="s">
        <v>1425</v>
      </c>
      <c r="D1521" t="s">
        <v>16</v>
      </c>
      <c r="E1521" t="s">
        <v>1426</v>
      </c>
      <c r="F1521" t="s">
        <v>18</v>
      </c>
      <c r="G1521" t="s">
        <v>26</v>
      </c>
      <c r="H1521">
        <v>0</v>
      </c>
      <c r="I1521">
        <v>90</v>
      </c>
      <c r="J1521">
        <v>10160</v>
      </c>
      <c r="K1521">
        <v>914400</v>
      </c>
      <c r="L1521">
        <v>0</v>
      </c>
      <c r="M1521">
        <v>914400</v>
      </c>
      <c r="N1521" t="s">
        <v>1398</v>
      </c>
      <c r="O1521" t="s">
        <v>1330</v>
      </c>
    </row>
    <row r="1522" spans="1:15" x14ac:dyDescent="0.3">
      <c r="A1522" t="str">
        <f t="shared" si="23"/>
        <v>W13-2M-0008-XX</v>
      </c>
      <c r="B1522" t="s">
        <v>14</v>
      </c>
      <c r="C1522" t="s">
        <v>1429</v>
      </c>
      <c r="D1522" t="s">
        <v>16</v>
      </c>
      <c r="E1522" t="s">
        <v>1430</v>
      </c>
      <c r="F1522" t="s">
        <v>18</v>
      </c>
      <c r="G1522" t="s">
        <v>1349</v>
      </c>
      <c r="H1522">
        <v>0</v>
      </c>
      <c r="I1522">
        <v>5735</v>
      </c>
      <c r="J1522">
        <v>5460</v>
      </c>
      <c r="K1522">
        <v>31313100</v>
      </c>
      <c r="L1522">
        <v>0</v>
      </c>
      <c r="M1522">
        <v>31313100</v>
      </c>
      <c r="N1522" t="s">
        <v>1431</v>
      </c>
      <c r="O1522" t="s">
        <v>1330</v>
      </c>
    </row>
    <row r="1523" spans="1:15" x14ac:dyDescent="0.3">
      <c r="A1523" t="str">
        <f t="shared" si="23"/>
        <v>WDPGMV0000018-IV</v>
      </c>
      <c r="B1523" t="s">
        <v>14</v>
      </c>
      <c r="C1523" t="s">
        <v>1432</v>
      </c>
      <c r="D1523" t="s">
        <v>214</v>
      </c>
      <c r="E1523" t="s">
        <v>1416</v>
      </c>
      <c r="F1523" t="s">
        <v>18</v>
      </c>
      <c r="G1523" t="s">
        <v>174</v>
      </c>
      <c r="H1523">
        <v>0</v>
      </c>
      <c r="I1523">
        <v>600</v>
      </c>
      <c r="J1523">
        <v>9890</v>
      </c>
      <c r="K1523">
        <v>5934000</v>
      </c>
      <c r="L1523">
        <v>0</v>
      </c>
      <c r="M1523">
        <v>5934000</v>
      </c>
      <c r="N1523" t="s">
        <v>1417</v>
      </c>
      <c r="O1523" t="s">
        <v>1330</v>
      </c>
    </row>
    <row r="1524" spans="1:15" x14ac:dyDescent="0.3">
      <c r="A1524" t="str">
        <f t="shared" si="23"/>
        <v>WDPGMV0000084-SO</v>
      </c>
      <c r="B1524" t="s">
        <v>14</v>
      </c>
      <c r="C1524" t="s">
        <v>2036</v>
      </c>
      <c r="D1524" t="s">
        <v>301</v>
      </c>
      <c r="E1524" t="s">
        <v>2037</v>
      </c>
      <c r="F1524" t="s">
        <v>18</v>
      </c>
      <c r="G1524" t="s">
        <v>174</v>
      </c>
      <c r="H1524">
        <v>0</v>
      </c>
      <c r="I1524">
        <v>200</v>
      </c>
      <c r="J1524">
        <v>19680</v>
      </c>
      <c r="K1524">
        <v>3936000</v>
      </c>
      <c r="L1524">
        <v>0</v>
      </c>
      <c r="M1524">
        <v>3936000</v>
      </c>
      <c r="N1524" t="s">
        <v>2038</v>
      </c>
      <c r="O1524" t="s">
        <v>1330</v>
      </c>
    </row>
    <row r="1525" spans="1:15" x14ac:dyDescent="0.3">
      <c r="A1525" t="str">
        <f t="shared" si="23"/>
        <v>WDWP000150-R000-BK</v>
      </c>
      <c r="B1525" t="s">
        <v>14</v>
      </c>
      <c r="C1525" t="s">
        <v>1433</v>
      </c>
      <c r="D1525" t="s">
        <v>31</v>
      </c>
      <c r="E1525" t="s">
        <v>1434</v>
      </c>
      <c r="F1525" t="s">
        <v>18</v>
      </c>
      <c r="G1525" t="s">
        <v>49</v>
      </c>
      <c r="H1525">
        <v>0</v>
      </c>
      <c r="I1525">
        <v>53</v>
      </c>
      <c r="J1525">
        <v>19290</v>
      </c>
      <c r="K1525">
        <v>1022370</v>
      </c>
      <c r="L1525">
        <v>0</v>
      </c>
      <c r="M1525">
        <v>1022370</v>
      </c>
      <c r="N1525" t="s">
        <v>1418</v>
      </c>
      <c r="O1525" t="s">
        <v>1330</v>
      </c>
    </row>
    <row r="1526" spans="1:15" x14ac:dyDescent="0.3">
      <c r="A1526" t="str">
        <f t="shared" si="23"/>
        <v>WDWP000150-R000-BRC</v>
      </c>
      <c r="B1526" t="s">
        <v>14</v>
      </c>
      <c r="C1526" t="s">
        <v>1433</v>
      </c>
      <c r="D1526" t="s">
        <v>895</v>
      </c>
      <c r="E1526" t="s">
        <v>1435</v>
      </c>
      <c r="F1526" t="s">
        <v>18</v>
      </c>
      <c r="G1526" t="s">
        <v>111</v>
      </c>
      <c r="H1526">
        <v>0</v>
      </c>
      <c r="I1526">
        <v>700</v>
      </c>
      <c r="J1526">
        <v>13890</v>
      </c>
      <c r="K1526">
        <v>9723000</v>
      </c>
      <c r="L1526">
        <v>0</v>
      </c>
      <c r="M1526">
        <v>9723000</v>
      </c>
      <c r="N1526" t="s">
        <v>987</v>
      </c>
      <c r="O1526" t="s">
        <v>1330</v>
      </c>
    </row>
    <row r="1527" spans="1:15" x14ac:dyDescent="0.3">
      <c r="A1527" t="str">
        <f t="shared" si="23"/>
        <v>WDWP000150-R000-BRC</v>
      </c>
      <c r="B1527" t="s">
        <v>14</v>
      </c>
      <c r="C1527" t="s">
        <v>1433</v>
      </c>
      <c r="D1527" t="s">
        <v>895</v>
      </c>
      <c r="E1527" t="s">
        <v>1435</v>
      </c>
      <c r="F1527" t="s">
        <v>18</v>
      </c>
      <c r="G1527" t="s">
        <v>49</v>
      </c>
      <c r="H1527">
        <v>0</v>
      </c>
      <c r="I1527">
        <v>1100</v>
      </c>
      <c r="J1527">
        <v>13890</v>
      </c>
      <c r="K1527">
        <v>15279000</v>
      </c>
      <c r="L1527">
        <v>0</v>
      </c>
      <c r="M1527">
        <v>15279000</v>
      </c>
      <c r="N1527" t="s">
        <v>987</v>
      </c>
      <c r="O1527" t="s">
        <v>1330</v>
      </c>
    </row>
    <row r="1528" spans="1:15" x14ac:dyDescent="0.3">
      <c r="A1528" t="str">
        <f t="shared" si="23"/>
        <v>WDWP000150-R000-BRC</v>
      </c>
      <c r="B1528" t="s">
        <v>14</v>
      </c>
      <c r="C1528" t="s">
        <v>1433</v>
      </c>
      <c r="D1528" t="s">
        <v>895</v>
      </c>
      <c r="E1528" t="s">
        <v>1435</v>
      </c>
      <c r="F1528" t="s">
        <v>18</v>
      </c>
      <c r="G1528" t="s">
        <v>35</v>
      </c>
      <c r="H1528">
        <v>0</v>
      </c>
      <c r="I1528">
        <v>200</v>
      </c>
      <c r="J1528">
        <v>13890</v>
      </c>
      <c r="K1528">
        <v>2778000</v>
      </c>
      <c r="L1528">
        <v>0</v>
      </c>
      <c r="M1528">
        <v>2778000</v>
      </c>
      <c r="N1528" t="s">
        <v>987</v>
      </c>
      <c r="O1528" t="s">
        <v>1330</v>
      </c>
    </row>
    <row r="1529" spans="1:15" x14ac:dyDescent="0.3">
      <c r="A1529" t="str">
        <f t="shared" si="23"/>
        <v>WDWP000150-R000-BRC</v>
      </c>
      <c r="B1529" t="s">
        <v>14</v>
      </c>
      <c r="C1529" t="s">
        <v>1433</v>
      </c>
      <c r="D1529" t="s">
        <v>895</v>
      </c>
      <c r="E1529" t="s">
        <v>1435</v>
      </c>
      <c r="F1529" t="s">
        <v>18</v>
      </c>
      <c r="G1529" t="s">
        <v>19</v>
      </c>
      <c r="H1529">
        <v>0</v>
      </c>
      <c r="I1529">
        <v>600</v>
      </c>
      <c r="J1529">
        <v>13890</v>
      </c>
      <c r="K1529">
        <v>8334000</v>
      </c>
      <c r="L1529">
        <v>0</v>
      </c>
      <c r="M1529">
        <v>8334000</v>
      </c>
      <c r="N1529" t="s">
        <v>987</v>
      </c>
      <c r="O1529" t="s">
        <v>1330</v>
      </c>
    </row>
    <row r="1530" spans="1:15" x14ac:dyDescent="0.3">
      <c r="A1530" t="str">
        <f t="shared" si="23"/>
        <v>WDWP000150-R000-BRC</v>
      </c>
      <c r="B1530" t="s">
        <v>14</v>
      </c>
      <c r="C1530" t="s">
        <v>1433</v>
      </c>
      <c r="D1530" t="s">
        <v>895</v>
      </c>
      <c r="E1530" t="s">
        <v>1435</v>
      </c>
      <c r="F1530" t="s">
        <v>18</v>
      </c>
      <c r="G1530" t="s">
        <v>174</v>
      </c>
      <c r="H1530">
        <v>0</v>
      </c>
      <c r="I1530">
        <v>200</v>
      </c>
      <c r="J1530">
        <v>13890</v>
      </c>
      <c r="K1530">
        <v>2778000</v>
      </c>
      <c r="L1530">
        <v>0</v>
      </c>
      <c r="M1530">
        <v>2778000</v>
      </c>
      <c r="N1530" t="s">
        <v>987</v>
      </c>
      <c r="O1530" t="s">
        <v>1330</v>
      </c>
    </row>
    <row r="1531" spans="1:15" x14ac:dyDescent="0.3">
      <c r="A1531" t="str">
        <f t="shared" si="23"/>
        <v>WDWP000150-R000-CZ</v>
      </c>
      <c r="B1531" t="s">
        <v>14</v>
      </c>
      <c r="C1531" t="s">
        <v>1433</v>
      </c>
      <c r="D1531" t="s">
        <v>861</v>
      </c>
      <c r="E1531" t="s">
        <v>1436</v>
      </c>
      <c r="F1531" t="s">
        <v>18</v>
      </c>
      <c r="G1531" t="s">
        <v>35</v>
      </c>
      <c r="H1531">
        <v>0</v>
      </c>
      <c r="I1531">
        <v>11</v>
      </c>
      <c r="J1531">
        <v>18290</v>
      </c>
      <c r="K1531">
        <v>201190</v>
      </c>
      <c r="L1531">
        <v>0</v>
      </c>
      <c r="M1531">
        <v>201190</v>
      </c>
      <c r="N1531" t="s">
        <v>831</v>
      </c>
      <c r="O1531" t="s">
        <v>1330</v>
      </c>
    </row>
    <row r="1532" spans="1:15" x14ac:dyDescent="0.3">
      <c r="A1532" t="str">
        <f t="shared" si="23"/>
        <v>WDWP000150-R000-GU</v>
      </c>
      <c r="B1532" t="s">
        <v>14</v>
      </c>
      <c r="C1532" t="s">
        <v>1433</v>
      </c>
      <c r="D1532" t="s">
        <v>274</v>
      </c>
      <c r="E1532" t="s">
        <v>1437</v>
      </c>
      <c r="F1532" t="s">
        <v>18</v>
      </c>
      <c r="G1532" t="s">
        <v>49</v>
      </c>
      <c r="H1532">
        <v>0</v>
      </c>
      <c r="I1532">
        <v>20</v>
      </c>
      <c r="J1532">
        <v>12940</v>
      </c>
      <c r="K1532">
        <v>258800</v>
      </c>
      <c r="L1532">
        <v>0</v>
      </c>
      <c r="M1532">
        <v>258800</v>
      </c>
      <c r="N1532" t="s">
        <v>831</v>
      </c>
      <c r="O1532" t="s">
        <v>1330</v>
      </c>
    </row>
    <row r="1533" spans="1:15" x14ac:dyDescent="0.3">
      <c r="A1533" t="str">
        <f t="shared" si="23"/>
        <v>WDWP000150-R000-GU</v>
      </c>
      <c r="B1533" t="s">
        <v>14</v>
      </c>
      <c r="C1533" t="s">
        <v>1433</v>
      </c>
      <c r="D1533" t="s">
        <v>274</v>
      </c>
      <c r="E1533" t="s">
        <v>1437</v>
      </c>
      <c r="F1533" t="s">
        <v>18</v>
      </c>
      <c r="G1533" t="s">
        <v>19</v>
      </c>
      <c r="H1533">
        <v>0</v>
      </c>
      <c r="I1533">
        <v>3</v>
      </c>
      <c r="J1533">
        <v>12940</v>
      </c>
      <c r="K1533">
        <v>38820</v>
      </c>
      <c r="L1533">
        <v>0</v>
      </c>
      <c r="M1533">
        <v>38820</v>
      </c>
      <c r="N1533" t="s">
        <v>831</v>
      </c>
      <c r="O1533" t="s">
        <v>1330</v>
      </c>
    </row>
    <row r="1534" spans="1:15" x14ac:dyDescent="0.3">
      <c r="A1534" t="str">
        <f t="shared" si="23"/>
        <v>WDWP000150-R000-GY</v>
      </c>
      <c r="B1534" t="s">
        <v>14</v>
      </c>
      <c r="C1534" t="s">
        <v>1433</v>
      </c>
      <c r="D1534" t="s">
        <v>47</v>
      </c>
      <c r="E1534" t="s">
        <v>1438</v>
      </c>
      <c r="F1534" t="s">
        <v>18</v>
      </c>
      <c r="G1534" t="s">
        <v>35</v>
      </c>
      <c r="H1534">
        <v>0</v>
      </c>
      <c r="I1534">
        <v>289</v>
      </c>
      <c r="J1534">
        <v>12940</v>
      </c>
      <c r="K1534">
        <v>3739660</v>
      </c>
      <c r="L1534">
        <v>0</v>
      </c>
      <c r="M1534">
        <v>3739660</v>
      </c>
      <c r="N1534" t="s">
        <v>831</v>
      </c>
      <c r="O1534" t="s">
        <v>1330</v>
      </c>
    </row>
    <row r="1535" spans="1:15" x14ac:dyDescent="0.3">
      <c r="A1535" t="str">
        <f t="shared" si="23"/>
        <v>WDWP000150-R000-LT</v>
      </c>
      <c r="B1535" t="s">
        <v>14</v>
      </c>
      <c r="C1535" t="s">
        <v>1433</v>
      </c>
      <c r="D1535" t="s">
        <v>217</v>
      </c>
      <c r="E1535" t="s">
        <v>1439</v>
      </c>
      <c r="F1535" t="s">
        <v>18</v>
      </c>
      <c r="G1535" t="s">
        <v>111</v>
      </c>
      <c r="H1535">
        <v>0</v>
      </c>
      <c r="I1535">
        <v>450</v>
      </c>
      <c r="J1535">
        <v>12940</v>
      </c>
      <c r="K1535">
        <v>5823000</v>
      </c>
      <c r="L1535">
        <v>0</v>
      </c>
      <c r="M1535">
        <v>5823000</v>
      </c>
      <c r="N1535" t="s">
        <v>831</v>
      </c>
      <c r="O1535" t="s">
        <v>1330</v>
      </c>
    </row>
    <row r="1536" spans="1:15" x14ac:dyDescent="0.3">
      <c r="A1536" t="str">
        <f t="shared" si="23"/>
        <v>WDWP000150-R000-LT</v>
      </c>
      <c r="B1536" t="s">
        <v>14</v>
      </c>
      <c r="C1536" t="s">
        <v>1433</v>
      </c>
      <c r="D1536" t="s">
        <v>217</v>
      </c>
      <c r="E1536" t="s">
        <v>1439</v>
      </c>
      <c r="F1536" t="s">
        <v>18</v>
      </c>
      <c r="G1536" t="s">
        <v>35</v>
      </c>
      <c r="H1536">
        <v>0</v>
      </c>
      <c r="I1536">
        <v>300</v>
      </c>
      <c r="J1536">
        <v>12940</v>
      </c>
      <c r="K1536">
        <v>3882000</v>
      </c>
      <c r="L1536">
        <v>0</v>
      </c>
      <c r="M1536">
        <v>3882000</v>
      </c>
      <c r="N1536" t="s">
        <v>831</v>
      </c>
      <c r="O1536" t="s">
        <v>1330</v>
      </c>
    </row>
    <row r="1537" spans="1:15" x14ac:dyDescent="0.3">
      <c r="A1537" t="str">
        <f t="shared" si="23"/>
        <v>WDWP000150-R000-LT</v>
      </c>
      <c r="B1537" t="s">
        <v>14</v>
      </c>
      <c r="C1537" t="s">
        <v>1433</v>
      </c>
      <c r="D1537" t="s">
        <v>217</v>
      </c>
      <c r="E1537" t="s">
        <v>1439</v>
      </c>
      <c r="F1537" t="s">
        <v>18</v>
      </c>
      <c r="G1537" t="s">
        <v>49</v>
      </c>
      <c r="H1537">
        <v>0</v>
      </c>
      <c r="I1537">
        <v>2150</v>
      </c>
      <c r="J1537">
        <v>12940</v>
      </c>
      <c r="K1537">
        <v>27821000</v>
      </c>
      <c r="L1537">
        <v>0</v>
      </c>
      <c r="M1537">
        <v>27821000</v>
      </c>
      <c r="N1537" t="s">
        <v>831</v>
      </c>
      <c r="O1537" t="s">
        <v>1330</v>
      </c>
    </row>
    <row r="1538" spans="1:15" x14ac:dyDescent="0.3">
      <c r="A1538" t="str">
        <f t="shared" si="23"/>
        <v>WDWP000150-R000-LT</v>
      </c>
      <c r="B1538" t="s">
        <v>14</v>
      </c>
      <c r="C1538" t="s">
        <v>1433</v>
      </c>
      <c r="D1538" t="s">
        <v>217</v>
      </c>
      <c r="E1538" t="s">
        <v>1439</v>
      </c>
      <c r="F1538" t="s">
        <v>18</v>
      </c>
      <c r="G1538" t="s">
        <v>19</v>
      </c>
      <c r="H1538">
        <v>0</v>
      </c>
      <c r="I1538">
        <v>200</v>
      </c>
      <c r="J1538">
        <v>12940</v>
      </c>
      <c r="K1538">
        <v>2588000</v>
      </c>
      <c r="L1538">
        <v>0</v>
      </c>
      <c r="M1538">
        <v>2588000</v>
      </c>
      <c r="N1538" t="s">
        <v>831</v>
      </c>
      <c r="O1538" t="s">
        <v>1330</v>
      </c>
    </row>
    <row r="1539" spans="1:15" x14ac:dyDescent="0.3">
      <c r="A1539" t="str">
        <f t="shared" ref="A1539:A1602" si="24">C1539&amp;"-"&amp;D1539</f>
        <v>WDWP000150-R000-LT</v>
      </c>
      <c r="B1539" t="s">
        <v>14</v>
      </c>
      <c r="C1539" t="s">
        <v>1433</v>
      </c>
      <c r="D1539" t="s">
        <v>217</v>
      </c>
      <c r="E1539" t="s">
        <v>1439</v>
      </c>
      <c r="F1539" t="s">
        <v>18</v>
      </c>
      <c r="G1539" t="s">
        <v>23</v>
      </c>
      <c r="H1539">
        <v>0</v>
      </c>
      <c r="I1539">
        <v>220</v>
      </c>
      <c r="J1539">
        <v>12940</v>
      </c>
      <c r="K1539">
        <v>2846800</v>
      </c>
      <c r="L1539">
        <v>0</v>
      </c>
      <c r="M1539">
        <v>2846800</v>
      </c>
      <c r="N1539" t="s">
        <v>831</v>
      </c>
      <c r="O1539" t="s">
        <v>1330</v>
      </c>
    </row>
    <row r="1540" spans="1:15" x14ac:dyDescent="0.3">
      <c r="A1540" t="str">
        <f t="shared" si="24"/>
        <v>WDWP000150-R000-LT</v>
      </c>
      <c r="B1540" t="s">
        <v>14</v>
      </c>
      <c r="C1540" t="s">
        <v>1433</v>
      </c>
      <c r="D1540" t="s">
        <v>217</v>
      </c>
      <c r="E1540" t="s">
        <v>1439</v>
      </c>
      <c r="F1540" t="s">
        <v>18</v>
      </c>
      <c r="G1540" t="s">
        <v>210</v>
      </c>
      <c r="H1540">
        <v>0</v>
      </c>
      <c r="I1540">
        <v>100</v>
      </c>
      <c r="J1540">
        <v>12940</v>
      </c>
      <c r="K1540">
        <v>1294000</v>
      </c>
      <c r="L1540">
        <v>0</v>
      </c>
      <c r="M1540">
        <v>1294000</v>
      </c>
      <c r="N1540" t="s">
        <v>831</v>
      </c>
      <c r="O1540" t="s">
        <v>1330</v>
      </c>
    </row>
    <row r="1541" spans="1:15" x14ac:dyDescent="0.3">
      <c r="A1541" t="str">
        <f t="shared" si="24"/>
        <v>WDWP000150-R000-OAT</v>
      </c>
      <c r="B1541" t="s">
        <v>14</v>
      </c>
      <c r="C1541" t="s">
        <v>1433</v>
      </c>
      <c r="D1541" t="s">
        <v>223</v>
      </c>
      <c r="E1541" t="s">
        <v>1440</v>
      </c>
      <c r="F1541" t="s">
        <v>18</v>
      </c>
      <c r="G1541" t="s">
        <v>49</v>
      </c>
      <c r="H1541">
        <v>0</v>
      </c>
      <c r="I1541">
        <v>10</v>
      </c>
      <c r="J1541">
        <v>13500</v>
      </c>
      <c r="K1541">
        <v>135000</v>
      </c>
      <c r="L1541">
        <v>0</v>
      </c>
      <c r="M1541">
        <v>135000</v>
      </c>
      <c r="N1541" t="s">
        <v>987</v>
      </c>
      <c r="O1541" t="s">
        <v>1330</v>
      </c>
    </row>
    <row r="1542" spans="1:15" x14ac:dyDescent="0.3">
      <c r="A1542" t="str">
        <f t="shared" si="24"/>
        <v>WDWP000150-R000-OS</v>
      </c>
      <c r="B1542" t="s">
        <v>14</v>
      </c>
      <c r="C1542" t="s">
        <v>1433</v>
      </c>
      <c r="D1542" t="s">
        <v>264</v>
      </c>
      <c r="E1542" t="s">
        <v>1441</v>
      </c>
      <c r="F1542" t="s">
        <v>18</v>
      </c>
      <c r="G1542" t="s">
        <v>49</v>
      </c>
      <c r="H1542">
        <v>0</v>
      </c>
      <c r="I1542">
        <v>209</v>
      </c>
      <c r="J1542">
        <v>12940</v>
      </c>
      <c r="K1542">
        <v>2704460</v>
      </c>
      <c r="L1542">
        <v>0</v>
      </c>
      <c r="M1542">
        <v>2704460</v>
      </c>
      <c r="N1542" t="s">
        <v>831</v>
      </c>
      <c r="O1542" t="s">
        <v>1330</v>
      </c>
    </row>
    <row r="1543" spans="1:15" x14ac:dyDescent="0.3">
      <c r="A1543" t="str">
        <f t="shared" si="24"/>
        <v>WDWP000150-R000-SP</v>
      </c>
      <c r="B1543" t="s">
        <v>14</v>
      </c>
      <c r="C1543" t="s">
        <v>1433</v>
      </c>
      <c r="D1543" t="s">
        <v>201</v>
      </c>
      <c r="E1543" t="s">
        <v>1442</v>
      </c>
      <c r="F1543" t="s">
        <v>18</v>
      </c>
      <c r="G1543" t="s">
        <v>174</v>
      </c>
      <c r="H1543">
        <v>0</v>
      </c>
      <c r="I1543">
        <v>200</v>
      </c>
      <c r="J1543">
        <v>12600</v>
      </c>
      <c r="K1543">
        <v>2520000</v>
      </c>
      <c r="L1543">
        <v>0</v>
      </c>
      <c r="M1543">
        <v>2520000</v>
      </c>
      <c r="N1543" t="s">
        <v>831</v>
      </c>
      <c r="O1543" t="s">
        <v>1330</v>
      </c>
    </row>
    <row r="1544" spans="1:15" x14ac:dyDescent="0.3">
      <c r="A1544" t="str">
        <f t="shared" si="24"/>
        <v>WDWP000150-R000-WW</v>
      </c>
      <c r="B1544" t="s">
        <v>14</v>
      </c>
      <c r="C1544" t="s">
        <v>1433</v>
      </c>
      <c r="D1544" t="s">
        <v>28</v>
      </c>
      <c r="E1544" t="s">
        <v>1443</v>
      </c>
      <c r="F1544" t="s">
        <v>18</v>
      </c>
      <c r="G1544" t="s">
        <v>83</v>
      </c>
      <c r="H1544">
        <v>0</v>
      </c>
      <c r="I1544">
        <v>140</v>
      </c>
      <c r="J1544">
        <v>12600</v>
      </c>
      <c r="K1544">
        <v>1764000</v>
      </c>
      <c r="L1544">
        <v>0</v>
      </c>
      <c r="M1544">
        <v>1764000</v>
      </c>
      <c r="N1544" t="s">
        <v>831</v>
      </c>
      <c r="O1544" t="s">
        <v>1330</v>
      </c>
    </row>
    <row r="1545" spans="1:15" x14ac:dyDescent="0.3">
      <c r="A1545" t="str">
        <f t="shared" si="24"/>
        <v>WDWP000150-R000-WW</v>
      </c>
      <c r="B1545" t="s">
        <v>14</v>
      </c>
      <c r="C1545" t="s">
        <v>1433</v>
      </c>
      <c r="D1545" t="s">
        <v>28</v>
      </c>
      <c r="E1545" t="s">
        <v>1443</v>
      </c>
      <c r="F1545" t="s">
        <v>18</v>
      </c>
      <c r="G1545" t="s">
        <v>210</v>
      </c>
      <c r="H1545">
        <v>0</v>
      </c>
      <c r="I1545">
        <v>200</v>
      </c>
      <c r="J1545">
        <v>12600</v>
      </c>
      <c r="K1545">
        <v>2520000</v>
      </c>
      <c r="L1545">
        <v>0</v>
      </c>
      <c r="M1545">
        <v>2520000</v>
      </c>
      <c r="N1545" t="s">
        <v>831</v>
      </c>
      <c r="O1545" t="s">
        <v>1330</v>
      </c>
    </row>
    <row r="1546" spans="1:15" x14ac:dyDescent="0.3">
      <c r="A1546" t="str">
        <f t="shared" si="24"/>
        <v>WDWP000150-R000-WW</v>
      </c>
      <c r="B1546" t="s">
        <v>14</v>
      </c>
      <c r="C1546" t="s">
        <v>1433</v>
      </c>
      <c r="D1546" t="s">
        <v>28</v>
      </c>
      <c r="E1546" t="s">
        <v>1443</v>
      </c>
      <c r="F1546" t="s">
        <v>18</v>
      </c>
      <c r="G1546" t="s">
        <v>35</v>
      </c>
      <c r="H1546">
        <v>0</v>
      </c>
      <c r="I1546">
        <v>150</v>
      </c>
      <c r="J1546">
        <v>12600</v>
      </c>
      <c r="K1546">
        <v>1890000</v>
      </c>
      <c r="L1546">
        <v>0</v>
      </c>
      <c r="M1546">
        <v>1890000</v>
      </c>
      <c r="N1546" t="s">
        <v>831</v>
      </c>
      <c r="O1546" t="s">
        <v>1330</v>
      </c>
    </row>
    <row r="1547" spans="1:15" x14ac:dyDescent="0.3">
      <c r="A1547" t="str">
        <f t="shared" si="24"/>
        <v>WDWP000150-R000-WW</v>
      </c>
      <c r="B1547" t="s">
        <v>14</v>
      </c>
      <c r="C1547" t="s">
        <v>1433</v>
      </c>
      <c r="D1547" t="s">
        <v>28</v>
      </c>
      <c r="E1547" t="s">
        <v>1443</v>
      </c>
      <c r="F1547" t="s">
        <v>18</v>
      </c>
      <c r="G1547" t="s">
        <v>49</v>
      </c>
      <c r="H1547">
        <v>0</v>
      </c>
      <c r="I1547">
        <v>150</v>
      </c>
      <c r="J1547">
        <v>12600</v>
      </c>
      <c r="K1547">
        <v>1890000</v>
      </c>
      <c r="L1547">
        <v>0</v>
      </c>
      <c r="M1547">
        <v>1890000</v>
      </c>
      <c r="N1547" t="s">
        <v>831</v>
      </c>
      <c r="O1547" t="s">
        <v>1330</v>
      </c>
    </row>
    <row r="1548" spans="1:15" x14ac:dyDescent="0.3">
      <c r="A1548" t="str">
        <f t="shared" si="24"/>
        <v>WDWP000150-R000-WW</v>
      </c>
      <c r="B1548" t="s">
        <v>14</v>
      </c>
      <c r="C1548" t="s">
        <v>1433</v>
      </c>
      <c r="D1548" t="s">
        <v>28</v>
      </c>
      <c r="E1548" t="s">
        <v>1443</v>
      </c>
      <c r="F1548" t="s">
        <v>18</v>
      </c>
      <c r="G1548" t="s">
        <v>19</v>
      </c>
      <c r="H1548">
        <v>0</v>
      </c>
      <c r="I1548">
        <v>50</v>
      </c>
      <c r="J1548">
        <v>12600</v>
      </c>
      <c r="K1548">
        <v>630000</v>
      </c>
      <c r="L1548">
        <v>0</v>
      </c>
      <c r="M1548">
        <v>630000</v>
      </c>
      <c r="N1548" t="s">
        <v>831</v>
      </c>
      <c r="O1548" t="s">
        <v>1330</v>
      </c>
    </row>
    <row r="1549" spans="1:15" x14ac:dyDescent="0.3">
      <c r="A1549" t="str">
        <f t="shared" si="24"/>
        <v>WDWP000150-R000-WW</v>
      </c>
      <c r="B1549" t="s">
        <v>14</v>
      </c>
      <c r="C1549" t="s">
        <v>1433</v>
      </c>
      <c r="D1549" t="s">
        <v>28</v>
      </c>
      <c r="E1549" t="s">
        <v>1443</v>
      </c>
      <c r="F1549" t="s">
        <v>18</v>
      </c>
      <c r="G1549" t="s">
        <v>23</v>
      </c>
      <c r="H1549">
        <v>0</v>
      </c>
      <c r="I1549">
        <v>200</v>
      </c>
      <c r="J1549">
        <v>12600</v>
      </c>
      <c r="K1549">
        <v>2520000</v>
      </c>
      <c r="L1549">
        <v>0</v>
      </c>
      <c r="M1549">
        <v>2520000</v>
      </c>
      <c r="N1549" t="s">
        <v>831</v>
      </c>
      <c r="O1549" t="s">
        <v>1330</v>
      </c>
    </row>
    <row r="1550" spans="1:15" x14ac:dyDescent="0.3">
      <c r="A1550" t="str">
        <f t="shared" si="24"/>
        <v>WDWP000150-R000-WW</v>
      </c>
      <c r="B1550" t="s">
        <v>14</v>
      </c>
      <c r="C1550" t="s">
        <v>1433</v>
      </c>
      <c r="D1550" t="s">
        <v>28</v>
      </c>
      <c r="E1550" t="s">
        <v>1443</v>
      </c>
      <c r="F1550" t="s">
        <v>18</v>
      </c>
      <c r="G1550" t="s">
        <v>246</v>
      </c>
      <c r="H1550">
        <v>0</v>
      </c>
      <c r="I1550">
        <v>300</v>
      </c>
      <c r="J1550">
        <v>12600</v>
      </c>
      <c r="K1550">
        <v>3780000</v>
      </c>
      <c r="L1550">
        <v>0</v>
      </c>
      <c r="M1550">
        <v>3780000</v>
      </c>
      <c r="N1550" t="s">
        <v>831</v>
      </c>
      <c r="O1550" t="s">
        <v>1330</v>
      </c>
    </row>
    <row r="1551" spans="1:15" x14ac:dyDescent="0.3">
      <c r="A1551" t="str">
        <f t="shared" si="24"/>
        <v>WDWP000168-R000-MIGP</v>
      </c>
      <c r="B1551" t="s">
        <v>14</v>
      </c>
      <c r="C1551" t="s">
        <v>1444</v>
      </c>
      <c r="D1551" t="s">
        <v>1445</v>
      </c>
      <c r="E1551" t="s">
        <v>1446</v>
      </c>
      <c r="F1551" t="s">
        <v>18</v>
      </c>
      <c r="G1551" t="s">
        <v>239</v>
      </c>
      <c r="H1551">
        <v>0</v>
      </c>
      <c r="I1551">
        <v>11</v>
      </c>
      <c r="J1551">
        <v>45210</v>
      </c>
      <c r="K1551">
        <v>497310</v>
      </c>
      <c r="L1551">
        <v>0</v>
      </c>
      <c r="M1551">
        <v>497310</v>
      </c>
      <c r="N1551" t="s">
        <v>683</v>
      </c>
      <c r="O1551" t="s">
        <v>1330</v>
      </c>
    </row>
    <row r="1552" spans="1:15" x14ac:dyDescent="0.3">
      <c r="A1552" t="str">
        <f t="shared" si="24"/>
        <v>WDWP000238-R000-XX</v>
      </c>
      <c r="B1552" t="s">
        <v>14</v>
      </c>
      <c r="C1552" t="s">
        <v>1577</v>
      </c>
      <c r="D1552" t="s">
        <v>16</v>
      </c>
      <c r="E1552" t="s">
        <v>1578</v>
      </c>
      <c r="F1552" t="s">
        <v>18</v>
      </c>
      <c r="G1552" t="s">
        <v>26</v>
      </c>
      <c r="H1552">
        <v>0</v>
      </c>
      <c r="I1552">
        <v>1</v>
      </c>
      <c r="J1552">
        <v>21420</v>
      </c>
      <c r="K1552">
        <v>21420</v>
      </c>
      <c r="L1552">
        <v>0</v>
      </c>
      <c r="M1552">
        <v>21420</v>
      </c>
      <c r="N1552" t="s">
        <v>683</v>
      </c>
      <c r="O1552" t="s">
        <v>1330</v>
      </c>
    </row>
    <row r="1553" spans="1:15" x14ac:dyDescent="0.3">
      <c r="A1553" t="str">
        <f t="shared" si="24"/>
        <v>WDWP000241-R000-XX</v>
      </c>
      <c r="B1553" t="s">
        <v>14</v>
      </c>
      <c r="C1553" t="s">
        <v>1582</v>
      </c>
      <c r="D1553" t="s">
        <v>16</v>
      </c>
      <c r="E1553" t="s">
        <v>1583</v>
      </c>
      <c r="F1553" t="s">
        <v>18</v>
      </c>
      <c r="G1553" t="s">
        <v>889</v>
      </c>
      <c r="H1553">
        <v>0</v>
      </c>
      <c r="I1553">
        <v>12</v>
      </c>
      <c r="J1553">
        <v>38610</v>
      </c>
      <c r="K1553">
        <v>463320</v>
      </c>
      <c r="L1553">
        <v>0</v>
      </c>
      <c r="M1553">
        <v>463320</v>
      </c>
      <c r="N1553" t="s">
        <v>1584</v>
      </c>
      <c r="O1553" t="s">
        <v>1330</v>
      </c>
    </row>
    <row r="1554" spans="1:15" x14ac:dyDescent="0.3">
      <c r="A1554" t="str">
        <f t="shared" si="24"/>
        <v>WDWP000241-R000-XX</v>
      </c>
      <c r="B1554" t="s">
        <v>14</v>
      </c>
      <c r="C1554" t="s">
        <v>1582</v>
      </c>
      <c r="D1554" t="s">
        <v>16</v>
      </c>
      <c r="E1554" t="s">
        <v>1583</v>
      </c>
      <c r="F1554" t="s">
        <v>18</v>
      </c>
      <c r="G1554" t="s">
        <v>26</v>
      </c>
      <c r="H1554">
        <v>0</v>
      </c>
      <c r="I1554">
        <v>80</v>
      </c>
      <c r="J1554">
        <v>38610</v>
      </c>
      <c r="K1554">
        <v>3088800</v>
      </c>
      <c r="L1554">
        <v>0</v>
      </c>
      <c r="M1554">
        <v>3088800</v>
      </c>
      <c r="N1554" t="s">
        <v>1584</v>
      </c>
      <c r="O1554" t="s">
        <v>1330</v>
      </c>
    </row>
    <row r="1555" spans="1:15" x14ac:dyDescent="0.3">
      <c r="A1555" t="str">
        <f t="shared" si="24"/>
        <v>WDWP000244-R000-XX</v>
      </c>
      <c r="B1555" t="s">
        <v>14</v>
      </c>
      <c r="C1555" t="s">
        <v>1447</v>
      </c>
      <c r="D1555" t="s">
        <v>16</v>
      </c>
      <c r="E1555" t="s">
        <v>1448</v>
      </c>
      <c r="F1555" t="s">
        <v>18</v>
      </c>
      <c r="G1555" t="s">
        <v>26</v>
      </c>
      <c r="H1555">
        <v>0</v>
      </c>
      <c r="I1555">
        <v>140</v>
      </c>
      <c r="J1555">
        <v>14170</v>
      </c>
      <c r="K1555">
        <v>1983800</v>
      </c>
      <c r="L1555">
        <v>0</v>
      </c>
      <c r="M1555">
        <v>1983800</v>
      </c>
      <c r="N1555" t="s">
        <v>725</v>
      </c>
      <c r="O1555" t="s">
        <v>1330</v>
      </c>
    </row>
    <row r="1556" spans="1:15" x14ac:dyDescent="0.3">
      <c r="A1556" t="str">
        <f t="shared" si="24"/>
        <v>WDWP000255-R000-XX</v>
      </c>
      <c r="B1556" t="s">
        <v>14</v>
      </c>
      <c r="C1556" t="s">
        <v>2039</v>
      </c>
      <c r="D1556" t="s">
        <v>16</v>
      </c>
      <c r="E1556" t="s">
        <v>1423</v>
      </c>
      <c r="F1556" t="s">
        <v>18</v>
      </c>
      <c r="G1556" t="s">
        <v>26</v>
      </c>
      <c r="H1556">
        <v>0</v>
      </c>
      <c r="I1556">
        <v>114</v>
      </c>
      <c r="J1556">
        <v>15450</v>
      </c>
      <c r="K1556">
        <v>1761300</v>
      </c>
      <c r="L1556">
        <v>0</v>
      </c>
      <c r="M1556">
        <v>1761300</v>
      </c>
      <c r="N1556" t="s">
        <v>1424</v>
      </c>
      <c r="O1556" t="s">
        <v>1330</v>
      </c>
    </row>
    <row r="1557" spans="1:15" x14ac:dyDescent="0.3">
      <c r="A1557" t="str">
        <f t="shared" si="24"/>
        <v>WDWP000256-R000-XX</v>
      </c>
      <c r="B1557" t="s">
        <v>14</v>
      </c>
      <c r="C1557" t="s">
        <v>2040</v>
      </c>
      <c r="D1557" t="s">
        <v>16</v>
      </c>
      <c r="E1557" t="s">
        <v>2041</v>
      </c>
      <c r="F1557" t="s">
        <v>18</v>
      </c>
      <c r="G1557" t="s">
        <v>1349</v>
      </c>
      <c r="H1557">
        <v>0</v>
      </c>
      <c r="I1557">
        <v>184</v>
      </c>
      <c r="J1557">
        <v>18510</v>
      </c>
      <c r="K1557">
        <v>3405840</v>
      </c>
      <c r="L1557">
        <v>0</v>
      </c>
      <c r="M1557">
        <v>3405840</v>
      </c>
      <c r="N1557" t="s">
        <v>2042</v>
      </c>
      <c r="O1557" t="s">
        <v>1330</v>
      </c>
    </row>
    <row r="1558" spans="1:15" x14ac:dyDescent="0.3">
      <c r="A1558" t="str">
        <f t="shared" si="24"/>
        <v>WDWP000817-R000-XX</v>
      </c>
      <c r="B1558" t="s">
        <v>14</v>
      </c>
      <c r="C1558" t="s">
        <v>2043</v>
      </c>
      <c r="D1558" t="s">
        <v>16</v>
      </c>
      <c r="E1558" t="s">
        <v>2044</v>
      </c>
      <c r="F1558" t="s">
        <v>18</v>
      </c>
      <c r="G1558" t="s">
        <v>26</v>
      </c>
      <c r="H1558">
        <v>0</v>
      </c>
      <c r="I1558">
        <v>260</v>
      </c>
      <c r="J1558">
        <v>14060</v>
      </c>
      <c r="K1558">
        <v>3655600</v>
      </c>
      <c r="L1558">
        <v>0</v>
      </c>
      <c r="M1558">
        <v>3655600</v>
      </c>
      <c r="N1558" t="s">
        <v>997</v>
      </c>
      <c r="O1558" t="s">
        <v>1330</v>
      </c>
    </row>
    <row r="1559" spans="1:15" x14ac:dyDescent="0.3">
      <c r="A1559" t="str">
        <f t="shared" si="24"/>
        <v>WDWP000831-R000-XX</v>
      </c>
      <c r="B1559" t="s">
        <v>14</v>
      </c>
      <c r="C1559" t="s">
        <v>1449</v>
      </c>
      <c r="D1559" t="s">
        <v>16</v>
      </c>
      <c r="E1559" t="s">
        <v>1426</v>
      </c>
      <c r="F1559" t="s">
        <v>18</v>
      </c>
      <c r="G1559" t="s">
        <v>1349</v>
      </c>
      <c r="H1559">
        <v>0</v>
      </c>
      <c r="I1559">
        <v>729</v>
      </c>
      <c r="J1559">
        <v>11080</v>
      </c>
      <c r="K1559">
        <v>8077320</v>
      </c>
      <c r="L1559">
        <v>0</v>
      </c>
      <c r="M1559">
        <v>8077320</v>
      </c>
      <c r="N1559" t="s">
        <v>1398</v>
      </c>
      <c r="O1559" t="s">
        <v>1330</v>
      </c>
    </row>
    <row r="1560" spans="1:15" x14ac:dyDescent="0.3">
      <c r="A1560" t="str">
        <f t="shared" si="24"/>
        <v>WDWP000831-R000-XX</v>
      </c>
      <c r="B1560" t="s">
        <v>14</v>
      </c>
      <c r="C1560" t="s">
        <v>1449</v>
      </c>
      <c r="D1560" t="s">
        <v>16</v>
      </c>
      <c r="E1560" t="s">
        <v>1426</v>
      </c>
      <c r="F1560" t="s">
        <v>18</v>
      </c>
      <c r="G1560" t="s">
        <v>26</v>
      </c>
      <c r="H1560">
        <v>0</v>
      </c>
      <c r="I1560">
        <v>6390</v>
      </c>
      <c r="J1560">
        <v>11080</v>
      </c>
      <c r="K1560">
        <v>70801200</v>
      </c>
      <c r="L1560">
        <v>0</v>
      </c>
      <c r="M1560">
        <v>70801200</v>
      </c>
      <c r="N1560" t="s">
        <v>1398</v>
      </c>
      <c r="O1560" t="s">
        <v>1330</v>
      </c>
    </row>
    <row r="1561" spans="1:15" x14ac:dyDescent="0.3">
      <c r="A1561" t="str">
        <f t="shared" si="24"/>
        <v>WDWP001091-R000-LT</v>
      </c>
      <c r="B1561" t="s">
        <v>14</v>
      </c>
      <c r="C1561" t="s">
        <v>1450</v>
      </c>
      <c r="D1561" t="s">
        <v>217</v>
      </c>
      <c r="E1561" t="s">
        <v>1451</v>
      </c>
      <c r="F1561" t="s">
        <v>18</v>
      </c>
      <c r="G1561" t="s">
        <v>49</v>
      </c>
      <c r="H1561">
        <v>0</v>
      </c>
      <c r="I1561">
        <v>2700</v>
      </c>
      <c r="J1561">
        <v>16050</v>
      </c>
      <c r="K1561">
        <v>43335000</v>
      </c>
      <c r="L1561">
        <v>0</v>
      </c>
      <c r="M1561">
        <v>43335000</v>
      </c>
      <c r="N1561" t="s">
        <v>697</v>
      </c>
      <c r="O1561" t="s">
        <v>1330</v>
      </c>
    </row>
    <row r="1562" spans="1:15" x14ac:dyDescent="0.3">
      <c r="A1562" t="str">
        <f t="shared" si="24"/>
        <v>WDWP001091-R000-LT</v>
      </c>
      <c r="B1562" t="s">
        <v>14</v>
      </c>
      <c r="C1562" t="s">
        <v>1450</v>
      </c>
      <c r="D1562" t="s">
        <v>217</v>
      </c>
      <c r="E1562" t="s">
        <v>1451</v>
      </c>
      <c r="F1562" t="s">
        <v>18</v>
      </c>
      <c r="G1562" t="s">
        <v>210</v>
      </c>
      <c r="H1562">
        <v>0</v>
      </c>
      <c r="I1562">
        <v>100</v>
      </c>
      <c r="J1562">
        <v>16050</v>
      </c>
      <c r="K1562">
        <v>1605000</v>
      </c>
      <c r="L1562">
        <v>0</v>
      </c>
      <c r="M1562">
        <v>1605000</v>
      </c>
      <c r="N1562" t="s">
        <v>697</v>
      </c>
      <c r="O1562" t="s">
        <v>1330</v>
      </c>
    </row>
    <row r="1563" spans="1:15" x14ac:dyDescent="0.3">
      <c r="A1563" t="str">
        <f t="shared" si="24"/>
        <v>WDWP001091-R000-LT</v>
      </c>
      <c r="B1563" t="s">
        <v>14</v>
      </c>
      <c r="C1563" t="s">
        <v>1450</v>
      </c>
      <c r="D1563" t="s">
        <v>217</v>
      </c>
      <c r="E1563" t="s">
        <v>1451</v>
      </c>
      <c r="F1563" t="s">
        <v>18</v>
      </c>
      <c r="G1563" t="s">
        <v>111</v>
      </c>
      <c r="H1563">
        <v>0</v>
      </c>
      <c r="I1563">
        <v>300</v>
      </c>
      <c r="J1563">
        <v>16050</v>
      </c>
      <c r="K1563">
        <v>4815000</v>
      </c>
      <c r="L1563">
        <v>0</v>
      </c>
      <c r="M1563">
        <v>4815000</v>
      </c>
      <c r="N1563" t="s">
        <v>697</v>
      </c>
      <c r="O1563" t="s">
        <v>1330</v>
      </c>
    </row>
    <row r="1564" spans="1:15" x14ac:dyDescent="0.3">
      <c r="A1564" t="str">
        <f t="shared" si="24"/>
        <v>WDWP001118-R000-OAT</v>
      </c>
      <c r="B1564" t="s">
        <v>14</v>
      </c>
      <c r="C1564" t="s">
        <v>1452</v>
      </c>
      <c r="D1564" t="s">
        <v>223</v>
      </c>
      <c r="E1564" t="s">
        <v>2045</v>
      </c>
      <c r="F1564" t="s">
        <v>18</v>
      </c>
      <c r="G1564" t="s">
        <v>174</v>
      </c>
      <c r="H1564">
        <v>0</v>
      </c>
      <c r="I1564">
        <v>100</v>
      </c>
      <c r="J1564">
        <v>10790</v>
      </c>
      <c r="K1564">
        <v>1079000</v>
      </c>
      <c r="L1564">
        <v>0</v>
      </c>
      <c r="M1564">
        <v>1079000</v>
      </c>
      <c r="N1564" t="s">
        <v>2046</v>
      </c>
      <c r="O1564" t="s">
        <v>1330</v>
      </c>
    </row>
    <row r="1565" spans="1:15" x14ac:dyDescent="0.3">
      <c r="A1565" t="str">
        <f t="shared" si="24"/>
        <v>WDWP001118-R000-SP</v>
      </c>
      <c r="B1565" t="s">
        <v>14</v>
      </c>
      <c r="C1565" t="s">
        <v>1452</v>
      </c>
      <c r="D1565" t="s">
        <v>201</v>
      </c>
      <c r="E1565" t="s">
        <v>2047</v>
      </c>
      <c r="F1565" t="s">
        <v>18</v>
      </c>
      <c r="G1565" t="s">
        <v>174</v>
      </c>
      <c r="H1565">
        <v>0</v>
      </c>
      <c r="I1565">
        <v>100</v>
      </c>
      <c r="J1565">
        <v>9890</v>
      </c>
      <c r="K1565">
        <v>989000</v>
      </c>
      <c r="L1565">
        <v>0</v>
      </c>
      <c r="M1565">
        <v>989000</v>
      </c>
      <c r="N1565" t="s">
        <v>1417</v>
      </c>
      <c r="O1565" t="s">
        <v>1330</v>
      </c>
    </row>
    <row r="1566" spans="1:15" x14ac:dyDescent="0.3">
      <c r="A1566" t="str">
        <f t="shared" si="24"/>
        <v>WDWP001118-R000-WW</v>
      </c>
      <c r="B1566" t="s">
        <v>14</v>
      </c>
      <c r="C1566" t="s">
        <v>1452</v>
      </c>
      <c r="D1566" t="s">
        <v>28</v>
      </c>
      <c r="E1566" t="s">
        <v>1453</v>
      </c>
      <c r="F1566" t="s">
        <v>18</v>
      </c>
      <c r="G1566" t="s">
        <v>63</v>
      </c>
      <c r="H1566">
        <v>0</v>
      </c>
      <c r="I1566">
        <v>100</v>
      </c>
      <c r="J1566">
        <v>9890</v>
      </c>
      <c r="K1566">
        <v>989000</v>
      </c>
      <c r="L1566">
        <v>0</v>
      </c>
      <c r="M1566">
        <v>989000</v>
      </c>
      <c r="N1566" t="s">
        <v>1417</v>
      </c>
      <c r="O1566" t="s">
        <v>1330</v>
      </c>
    </row>
    <row r="1567" spans="1:15" x14ac:dyDescent="0.3">
      <c r="A1567" t="str">
        <f t="shared" si="24"/>
        <v>WDWP001118-R000-WW</v>
      </c>
      <c r="B1567" t="s">
        <v>14</v>
      </c>
      <c r="C1567" t="s">
        <v>1452</v>
      </c>
      <c r="D1567" t="s">
        <v>28</v>
      </c>
      <c r="E1567" t="s">
        <v>1453</v>
      </c>
      <c r="F1567" t="s">
        <v>18</v>
      </c>
      <c r="G1567" t="s">
        <v>210</v>
      </c>
      <c r="H1567">
        <v>0</v>
      </c>
      <c r="I1567">
        <v>170</v>
      </c>
      <c r="J1567">
        <v>9890</v>
      </c>
      <c r="K1567">
        <v>1681300</v>
      </c>
      <c r="L1567">
        <v>0</v>
      </c>
      <c r="M1567">
        <v>1681300</v>
      </c>
      <c r="N1567" t="s">
        <v>1417</v>
      </c>
      <c r="O1567" t="s">
        <v>1330</v>
      </c>
    </row>
    <row r="1568" spans="1:15" x14ac:dyDescent="0.3">
      <c r="A1568" t="str">
        <f t="shared" si="24"/>
        <v>WDWP001118-R000-WW</v>
      </c>
      <c r="B1568" t="s">
        <v>14</v>
      </c>
      <c r="C1568" t="s">
        <v>1452</v>
      </c>
      <c r="D1568" t="s">
        <v>28</v>
      </c>
      <c r="E1568" t="s">
        <v>1453</v>
      </c>
      <c r="F1568" t="s">
        <v>18</v>
      </c>
      <c r="G1568" t="s">
        <v>174</v>
      </c>
      <c r="H1568">
        <v>0</v>
      </c>
      <c r="I1568">
        <v>200</v>
      </c>
      <c r="J1568">
        <v>9890</v>
      </c>
      <c r="K1568">
        <v>1978000</v>
      </c>
      <c r="L1568">
        <v>0</v>
      </c>
      <c r="M1568">
        <v>1978000</v>
      </c>
      <c r="N1568" t="s">
        <v>1417</v>
      </c>
      <c r="O1568" t="s">
        <v>1330</v>
      </c>
    </row>
    <row r="1569" spans="1:15" x14ac:dyDescent="0.3">
      <c r="A1569" t="str">
        <f t="shared" si="24"/>
        <v>WDWP001118-R000-WW</v>
      </c>
      <c r="B1569" t="s">
        <v>14</v>
      </c>
      <c r="C1569" t="s">
        <v>1452</v>
      </c>
      <c r="D1569" t="s">
        <v>28</v>
      </c>
      <c r="E1569" t="s">
        <v>1453</v>
      </c>
      <c r="F1569" t="s">
        <v>18</v>
      </c>
      <c r="G1569" t="s">
        <v>19</v>
      </c>
      <c r="H1569">
        <v>0</v>
      </c>
      <c r="I1569">
        <v>1502</v>
      </c>
      <c r="J1569">
        <v>9890</v>
      </c>
      <c r="K1569">
        <v>14854780</v>
      </c>
      <c r="L1569">
        <v>0</v>
      </c>
      <c r="M1569">
        <v>14854780</v>
      </c>
      <c r="N1569" t="s">
        <v>1417</v>
      </c>
      <c r="O1569" t="s">
        <v>1330</v>
      </c>
    </row>
    <row r="1570" spans="1:15" x14ac:dyDescent="0.3">
      <c r="A1570" t="str">
        <f t="shared" si="24"/>
        <v>WDWP001118-R000-WW</v>
      </c>
      <c r="B1570" t="s">
        <v>14</v>
      </c>
      <c r="C1570" t="s">
        <v>1452</v>
      </c>
      <c r="D1570" t="s">
        <v>28</v>
      </c>
      <c r="E1570" t="s">
        <v>1453</v>
      </c>
      <c r="F1570" t="s">
        <v>18</v>
      </c>
      <c r="G1570" t="s">
        <v>35</v>
      </c>
      <c r="H1570">
        <v>0</v>
      </c>
      <c r="I1570">
        <v>200</v>
      </c>
      <c r="J1570">
        <v>9890</v>
      </c>
      <c r="K1570">
        <v>1978000</v>
      </c>
      <c r="L1570">
        <v>0</v>
      </c>
      <c r="M1570">
        <v>1978000</v>
      </c>
      <c r="N1570" t="s">
        <v>1417</v>
      </c>
      <c r="O1570" t="s">
        <v>1330</v>
      </c>
    </row>
    <row r="1571" spans="1:15" x14ac:dyDescent="0.3">
      <c r="A1571" t="str">
        <f t="shared" si="24"/>
        <v>WDWP001445-R000-XX</v>
      </c>
      <c r="B1571" t="s">
        <v>14</v>
      </c>
      <c r="C1571" t="s">
        <v>1454</v>
      </c>
      <c r="D1571" t="s">
        <v>16</v>
      </c>
      <c r="E1571" t="s">
        <v>1455</v>
      </c>
      <c r="F1571" t="s">
        <v>18</v>
      </c>
      <c r="G1571" t="s">
        <v>1371</v>
      </c>
      <c r="H1571">
        <v>0</v>
      </c>
      <c r="I1571">
        <v>3630</v>
      </c>
      <c r="J1571">
        <v>2930</v>
      </c>
      <c r="K1571">
        <v>10635900</v>
      </c>
      <c r="L1571">
        <v>0</v>
      </c>
      <c r="M1571">
        <v>10635900</v>
      </c>
      <c r="N1571" t="s">
        <v>1456</v>
      </c>
      <c r="O1571" t="s">
        <v>1330</v>
      </c>
    </row>
    <row r="1572" spans="1:15" x14ac:dyDescent="0.3">
      <c r="A1572" t="str">
        <f t="shared" si="24"/>
        <v>WDWP001547-P000-GYC</v>
      </c>
      <c r="B1572" t="s">
        <v>14</v>
      </c>
      <c r="C1572" t="s">
        <v>1457</v>
      </c>
      <c r="D1572" t="s">
        <v>1394</v>
      </c>
      <c r="E1572" t="s">
        <v>1458</v>
      </c>
      <c r="F1572" t="s">
        <v>18</v>
      </c>
      <c r="G1572" t="s">
        <v>49</v>
      </c>
      <c r="H1572">
        <v>0</v>
      </c>
      <c r="I1572">
        <v>1335</v>
      </c>
      <c r="J1572">
        <v>11560</v>
      </c>
      <c r="K1572">
        <v>15432600</v>
      </c>
      <c r="L1572">
        <v>0</v>
      </c>
      <c r="M1572">
        <v>15432600</v>
      </c>
      <c r="N1572" t="s">
        <v>1459</v>
      </c>
      <c r="O1572" t="s">
        <v>1330</v>
      </c>
    </row>
    <row r="1573" spans="1:15" x14ac:dyDescent="0.3">
      <c r="A1573" t="str">
        <f t="shared" si="24"/>
        <v>WDWP001547-P000-NCC</v>
      </c>
      <c r="B1573" t="s">
        <v>14</v>
      </c>
      <c r="C1573" t="s">
        <v>1457</v>
      </c>
      <c r="D1573" t="s">
        <v>220</v>
      </c>
      <c r="E1573" t="s">
        <v>1460</v>
      </c>
      <c r="F1573" t="s">
        <v>18</v>
      </c>
      <c r="G1573" t="s">
        <v>49</v>
      </c>
      <c r="H1573">
        <v>0</v>
      </c>
      <c r="I1573">
        <v>347</v>
      </c>
      <c r="J1573">
        <v>11560</v>
      </c>
      <c r="K1573">
        <v>4011320</v>
      </c>
      <c r="L1573">
        <v>0</v>
      </c>
      <c r="M1573">
        <v>4011320</v>
      </c>
      <c r="N1573" t="s">
        <v>1459</v>
      </c>
      <c r="O1573" t="s">
        <v>1330</v>
      </c>
    </row>
    <row r="1574" spans="1:15" x14ac:dyDescent="0.3">
      <c r="A1574" t="str">
        <f t="shared" si="24"/>
        <v>WDWP001547-P000-OS</v>
      </c>
      <c r="B1574" t="s">
        <v>14</v>
      </c>
      <c r="C1574" t="s">
        <v>1457</v>
      </c>
      <c r="D1574" t="s">
        <v>264</v>
      </c>
      <c r="E1574" t="s">
        <v>1461</v>
      </c>
      <c r="F1574" t="s">
        <v>18</v>
      </c>
      <c r="G1574" t="s">
        <v>49</v>
      </c>
      <c r="H1574">
        <v>0</v>
      </c>
      <c r="I1574">
        <v>90</v>
      </c>
      <c r="J1574">
        <v>11560</v>
      </c>
      <c r="K1574">
        <v>1040400</v>
      </c>
      <c r="L1574">
        <v>0</v>
      </c>
      <c r="M1574">
        <v>1040400</v>
      </c>
      <c r="N1574" t="s">
        <v>1459</v>
      </c>
      <c r="O1574" t="s">
        <v>1330</v>
      </c>
    </row>
    <row r="1575" spans="1:15" x14ac:dyDescent="0.3">
      <c r="A1575" t="str">
        <f t="shared" si="24"/>
        <v>WDWP001547-R000-OAT</v>
      </c>
      <c r="B1575" t="s">
        <v>14</v>
      </c>
      <c r="C1575" t="s">
        <v>1462</v>
      </c>
      <c r="D1575" t="s">
        <v>223</v>
      </c>
      <c r="E1575" t="s">
        <v>2048</v>
      </c>
      <c r="F1575" t="s">
        <v>18</v>
      </c>
      <c r="G1575" t="s">
        <v>49</v>
      </c>
      <c r="H1575">
        <v>0</v>
      </c>
      <c r="I1575">
        <v>17</v>
      </c>
      <c r="J1575">
        <v>11560</v>
      </c>
      <c r="K1575">
        <v>196520</v>
      </c>
      <c r="L1575">
        <v>0</v>
      </c>
      <c r="M1575">
        <v>196520</v>
      </c>
      <c r="N1575" t="s">
        <v>2049</v>
      </c>
      <c r="O1575" t="s">
        <v>1330</v>
      </c>
    </row>
    <row r="1576" spans="1:15" x14ac:dyDescent="0.3">
      <c r="A1576" t="str">
        <f t="shared" si="24"/>
        <v>WDWP001823-P000-FK</v>
      </c>
      <c r="B1576" t="s">
        <v>14</v>
      </c>
      <c r="C1576" t="s">
        <v>2050</v>
      </c>
      <c r="D1576" t="s">
        <v>229</v>
      </c>
      <c r="E1576" t="s">
        <v>2051</v>
      </c>
      <c r="F1576" t="s">
        <v>18</v>
      </c>
      <c r="G1576" t="s">
        <v>26</v>
      </c>
      <c r="H1576">
        <v>0</v>
      </c>
      <c r="I1576">
        <v>65</v>
      </c>
      <c r="J1576">
        <v>54960</v>
      </c>
      <c r="K1576">
        <v>3572400</v>
      </c>
      <c r="L1576">
        <v>0</v>
      </c>
      <c r="M1576">
        <v>3572400</v>
      </c>
      <c r="N1576" t="s">
        <v>689</v>
      </c>
      <c r="O1576" t="s">
        <v>1330</v>
      </c>
    </row>
    <row r="1577" spans="1:15" x14ac:dyDescent="0.3">
      <c r="A1577" t="str">
        <f t="shared" si="24"/>
        <v>WDWP001848-R000-XX</v>
      </c>
      <c r="B1577" t="s">
        <v>14</v>
      </c>
      <c r="C1577" t="s">
        <v>1464</v>
      </c>
      <c r="D1577" t="s">
        <v>16</v>
      </c>
      <c r="E1577" t="s">
        <v>1428</v>
      </c>
      <c r="F1577" t="s">
        <v>18</v>
      </c>
      <c r="G1577" t="s">
        <v>1371</v>
      </c>
      <c r="H1577">
        <v>0</v>
      </c>
      <c r="I1577">
        <v>330</v>
      </c>
      <c r="J1577">
        <v>3960</v>
      </c>
      <c r="K1577">
        <v>1306800</v>
      </c>
      <c r="L1577">
        <v>0</v>
      </c>
      <c r="M1577">
        <v>1306800</v>
      </c>
      <c r="N1577" t="s">
        <v>1417</v>
      </c>
      <c r="O1577" t="s">
        <v>1330</v>
      </c>
    </row>
    <row r="1578" spans="1:15" x14ac:dyDescent="0.3">
      <c r="A1578" t="str">
        <f t="shared" si="24"/>
        <v>WDWP001851-R000-XX</v>
      </c>
      <c r="B1578" t="s">
        <v>14</v>
      </c>
      <c r="C1578" t="s">
        <v>2052</v>
      </c>
      <c r="D1578" t="s">
        <v>16</v>
      </c>
      <c r="E1578" t="s">
        <v>2053</v>
      </c>
      <c r="F1578" t="s">
        <v>18</v>
      </c>
      <c r="G1578" t="s">
        <v>889</v>
      </c>
      <c r="H1578">
        <v>0</v>
      </c>
      <c r="I1578">
        <v>294</v>
      </c>
      <c r="J1578">
        <v>8940</v>
      </c>
      <c r="K1578">
        <v>2628360</v>
      </c>
      <c r="L1578">
        <v>0</v>
      </c>
      <c r="M1578">
        <v>2628360</v>
      </c>
      <c r="N1578" t="s">
        <v>2054</v>
      </c>
      <c r="O1578" t="s">
        <v>1330</v>
      </c>
    </row>
    <row r="1579" spans="1:15" x14ac:dyDescent="0.3">
      <c r="A1579" t="str">
        <f t="shared" si="24"/>
        <v>WDWP002289-R000-FKI</v>
      </c>
      <c r="B1579" t="s">
        <v>14</v>
      </c>
      <c r="C1579" t="s">
        <v>2055</v>
      </c>
      <c r="D1579" t="s">
        <v>1903</v>
      </c>
      <c r="E1579" t="s">
        <v>2056</v>
      </c>
      <c r="F1579" t="s">
        <v>18</v>
      </c>
      <c r="G1579" t="s">
        <v>26</v>
      </c>
      <c r="H1579">
        <v>0</v>
      </c>
      <c r="I1579">
        <v>40</v>
      </c>
      <c r="J1579">
        <v>46550</v>
      </c>
      <c r="K1579">
        <v>1862000</v>
      </c>
      <c r="L1579">
        <v>0</v>
      </c>
      <c r="M1579">
        <v>1862000</v>
      </c>
      <c r="N1579" t="s">
        <v>679</v>
      </c>
      <c r="O1579" t="s">
        <v>1330</v>
      </c>
    </row>
    <row r="1580" spans="1:15" x14ac:dyDescent="0.3">
      <c r="A1580" t="str">
        <f t="shared" si="24"/>
        <v>WDWP002289-R000-WWI</v>
      </c>
      <c r="B1580" t="s">
        <v>14</v>
      </c>
      <c r="C1580" t="s">
        <v>2055</v>
      </c>
      <c r="D1580" t="s">
        <v>2057</v>
      </c>
      <c r="E1580" t="s">
        <v>2058</v>
      </c>
      <c r="F1580" t="s">
        <v>18</v>
      </c>
      <c r="G1580" t="s">
        <v>26</v>
      </c>
      <c r="H1580">
        <v>0</v>
      </c>
      <c r="I1580">
        <v>120</v>
      </c>
      <c r="J1580">
        <v>45730</v>
      </c>
      <c r="K1580">
        <v>5487600</v>
      </c>
      <c r="L1580">
        <v>0</v>
      </c>
      <c r="M1580">
        <v>5487600</v>
      </c>
      <c r="N1580" t="s">
        <v>679</v>
      </c>
      <c r="O1580" t="s">
        <v>1330</v>
      </c>
    </row>
    <row r="1581" spans="1:15" x14ac:dyDescent="0.3">
      <c r="A1581" t="str">
        <f t="shared" si="24"/>
        <v>WDWP002317-R000-WWI</v>
      </c>
      <c r="B1581" t="s">
        <v>14</v>
      </c>
      <c r="C1581" t="s">
        <v>2059</v>
      </c>
      <c r="D1581" t="s">
        <v>2057</v>
      </c>
      <c r="E1581" t="s">
        <v>2060</v>
      </c>
      <c r="F1581" t="s">
        <v>18</v>
      </c>
      <c r="G1581" t="s">
        <v>49</v>
      </c>
      <c r="H1581">
        <v>0</v>
      </c>
      <c r="I1581">
        <v>1</v>
      </c>
      <c r="J1581">
        <v>42490</v>
      </c>
      <c r="K1581">
        <v>42490</v>
      </c>
      <c r="L1581">
        <v>0</v>
      </c>
      <c r="M1581">
        <v>42490</v>
      </c>
      <c r="N1581" t="s">
        <v>834</v>
      </c>
      <c r="O1581" t="s">
        <v>1330</v>
      </c>
    </row>
    <row r="1582" spans="1:15" x14ac:dyDescent="0.3">
      <c r="A1582" t="str">
        <f t="shared" si="24"/>
        <v>WDWP002318-R000-FK</v>
      </c>
      <c r="B1582" t="s">
        <v>14</v>
      </c>
      <c r="C1582" t="s">
        <v>2061</v>
      </c>
      <c r="D1582" t="s">
        <v>229</v>
      </c>
      <c r="E1582" t="s">
        <v>2062</v>
      </c>
      <c r="F1582" t="s">
        <v>18</v>
      </c>
      <c r="G1582" t="s">
        <v>49</v>
      </c>
      <c r="H1582">
        <v>0</v>
      </c>
      <c r="I1582">
        <v>5</v>
      </c>
      <c r="J1582">
        <v>40860</v>
      </c>
      <c r="K1582">
        <v>204300</v>
      </c>
      <c r="L1582">
        <v>0</v>
      </c>
      <c r="M1582">
        <v>204300</v>
      </c>
      <c r="N1582" t="s">
        <v>863</v>
      </c>
      <c r="O1582" t="s">
        <v>1330</v>
      </c>
    </row>
    <row r="1583" spans="1:15" x14ac:dyDescent="0.3">
      <c r="A1583" t="str">
        <f t="shared" si="24"/>
        <v>WDWP002318-R000-WW</v>
      </c>
      <c r="B1583" t="s">
        <v>14</v>
      </c>
      <c r="C1583" t="s">
        <v>2061</v>
      </c>
      <c r="D1583" t="s">
        <v>28</v>
      </c>
      <c r="E1583" t="s">
        <v>2063</v>
      </c>
      <c r="F1583" t="s">
        <v>18</v>
      </c>
      <c r="G1583" t="s">
        <v>49</v>
      </c>
      <c r="H1583">
        <v>0</v>
      </c>
      <c r="I1583">
        <v>5</v>
      </c>
      <c r="J1583">
        <v>40860</v>
      </c>
      <c r="K1583">
        <v>204300</v>
      </c>
      <c r="L1583">
        <v>0</v>
      </c>
      <c r="M1583">
        <v>204300</v>
      </c>
      <c r="N1583" t="s">
        <v>863</v>
      </c>
      <c r="O1583" t="s">
        <v>1330</v>
      </c>
    </row>
    <row r="1584" spans="1:15" x14ac:dyDescent="0.3">
      <c r="A1584" t="str">
        <f t="shared" si="24"/>
        <v>WDWP002341-R000-BGM</v>
      </c>
      <c r="B1584" t="s">
        <v>14</v>
      </c>
      <c r="C1584" t="s">
        <v>2064</v>
      </c>
      <c r="D1584" t="s">
        <v>769</v>
      </c>
      <c r="E1584" t="s">
        <v>2065</v>
      </c>
      <c r="F1584" t="s">
        <v>18</v>
      </c>
      <c r="G1584" t="s">
        <v>174</v>
      </c>
      <c r="H1584">
        <v>0</v>
      </c>
      <c r="I1584">
        <v>1</v>
      </c>
      <c r="J1584">
        <v>64470</v>
      </c>
      <c r="K1584">
        <v>64470</v>
      </c>
      <c r="L1584">
        <v>0</v>
      </c>
      <c r="M1584">
        <v>64470</v>
      </c>
      <c r="N1584" t="s">
        <v>871</v>
      </c>
      <c r="O1584" t="s">
        <v>1330</v>
      </c>
    </row>
    <row r="1585" spans="1:15" x14ac:dyDescent="0.3">
      <c r="A1585" t="str">
        <f t="shared" si="24"/>
        <v>WDWP002341-R000-BUR</v>
      </c>
      <c r="B1585" t="s">
        <v>14</v>
      </c>
      <c r="C1585" t="s">
        <v>2064</v>
      </c>
      <c r="D1585" t="s">
        <v>1049</v>
      </c>
      <c r="E1585" t="s">
        <v>2066</v>
      </c>
      <c r="F1585" t="s">
        <v>18</v>
      </c>
      <c r="G1585" t="s">
        <v>174</v>
      </c>
      <c r="H1585">
        <v>0</v>
      </c>
      <c r="I1585">
        <v>1</v>
      </c>
      <c r="J1585">
        <v>64840</v>
      </c>
      <c r="K1585">
        <v>64840</v>
      </c>
      <c r="L1585">
        <v>0</v>
      </c>
      <c r="M1585">
        <v>64840</v>
      </c>
      <c r="N1585" t="s">
        <v>871</v>
      </c>
      <c r="O1585" t="s">
        <v>1330</v>
      </c>
    </row>
    <row r="1586" spans="1:15" x14ac:dyDescent="0.3">
      <c r="A1586" t="str">
        <f t="shared" si="24"/>
        <v>WDWP002341-R000-SE</v>
      </c>
      <c r="B1586" t="s">
        <v>14</v>
      </c>
      <c r="C1586" t="s">
        <v>2064</v>
      </c>
      <c r="D1586" t="s">
        <v>1882</v>
      </c>
      <c r="E1586" t="s">
        <v>2067</v>
      </c>
      <c r="F1586" t="s">
        <v>18</v>
      </c>
      <c r="G1586" t="s">
        <v>174</v>
      </c>
      <c r="H1586">
        <v>0</v>
      </c>
      <c r="I1586">
        <v>1</v>
      </c>
      <c r="J1586">
        <v>64470</v>
      </c>
      <c r="K1586">
        <v>64470</v>
      </c>
      <c r="L1586">
        <v>0</v>
      </c>
      <c r="M1586">
        <v>64470</v>
      </c>
      <c r="N1586" t="s">
        <v>871</v>
      </c>
      <c r="O1586" t="s">
        <v>1330</v>
      </c>
    </row>
    <row r="1587" spans="1:15" x14ac:dyDescent="0.3">
      <c r="A1587" t="str">
        <f t="shared" si="24"/>
        <v>WDWP002342-R000-FK</v>
      </c>
      <c r="B1587" t="s">
        <v>14</v>
      </c>
      <c r="C1587" t="s">
        <v>2068</v>
      </c>
      <c r="D1587" t="s">
        <v>229</v>
      </c>
      <c r="E1587" t="s">
        <v>2069</v>
      </c>
      <c r="F1587" t="s">
        <v>18</v>
      </c>
      <c r="G1587" t="s">
        <v>111</v>
      </c>
      <c r="H1587">
        <v>0</v>
      </c>
      <c r="I1587">
        <v>1</v>
      </c>
      <c r="J1587">
        <v>66630</v>
      </c>
      <c r="K1587">
        <v>66630</v>
      </c>
      <c r="L1587">
        <v>0</v>
      </c>
      <c r="M1587">
        <v>66630</v>
      </c>
      <c r="N1587" t="s">
        <v>903</v>
      </c>
      <c r="O1587" t="s">
        <v>1330</v>
      </c>
    </row>
    <row r="1588" spans="1:15" x14ac:dyDescent="0.3">
      <c r="A1588" t="str">
        <f t="shared" si="24"/>
        <v>WDWP002342-R000-SP</v>
      </c>
      <c r="B1588" t="s">
        <v>14</v>
      </c>
      <c r="C1588" t="s">
        <v>2068</v>
      </c>
      <c r="D1588" t="s">
        <v>201</v>
      </c>
      <c r="E1588" t="s">
        <v>2070</v>
      </c>
      <c r="F1588" t="s">
        <v>18</v>
      </c>
      <c r="G1588" t="s">
        <v>111</v>
      </c>
      <c r="H1588">
        <v>0</v>
      </c>
      <c r="I1588">
        <v>1</v>
      </c>
      <c r="J1588">
        <v>67630</v>
      </c>
      <c r="K1588">
        <v>67630</v>
      </c>
      <c r="L1588">
        <v>0</v>
      </c>
      <c r="M1588">
        <v>67630</v>
      </c>
      <c r="N1588" t="s">
        <v>903</v>
      </c>
      <c r="O1588" t="s">
        <v>1330</v>
      </c>
    </row>
    <row r="1589" spans="1:15" x14ac:dyDescent="0.3">
      <c r="A1589" t="str">
        <f t="shared" si="24"/>
        <v>WDWPMF0000198-BKC</v>
      </c>
      <c r="B1589" t="s">
        <v>14</v>
      </c>
      <c r="C1589" t="s">
        <v>2071</v>
      </c>
      <c r="D1589" t="s">
        <v>1465</v>
      </c>
      <c r="E1589" t="s">
        <v>2072</v>
      </c>
      <c r="F1589" t="s">
        <v>18</v>
      </c>
      <c r="G1589" t="s">
        <v>111</v>
      </c>
      <c r="H1589">
        <v>0</v>
      </c>
      <c r="I1589">
        <v>10</v>
      </c>
      <c r="J1589">
        <v>61910</v>
      </c>
      <c r="K1589">
        <v>619100</v>
      </c>
      <c r="L1589">
        <v>0</v>
      </c>
      <c r="M1589">
        <v>619100</v>
      </c>
      <c r="N1589" t="s">
        <v>2073</v>
      </c>
      <c r="O1589" t="s">
        <v>1330</v>
      </c>
    </row>
    <row r="1590" spans="1:15" x14ac:dyDescent="0.3">
      <c r="A1590" t="str">
        <f t="shared" si="24"/>
        <v>WDWPMF0000398-WW</v>
      </c>
      <c r="B1590" t="s">
        <v>14</v>
      </c>
      <c r="C1590" t="s">
        <v>1466</v>
      </c>
      <c r="D1590" t="s">
        <v>28</v>
      </c>
      <c r="E1590" t="s">
        <v>1467</v>
      </c>
      <c r="F1590" t="s">
        <v>18</v>
      </c>
      <c r="G1590" t="s">
        <v>49</v>
      </c>
      <c r="H1590">
        <v>0</v>
      </c>
      <c r="I1590">
        <v>1160</v>
      </c>
      <c r="J1590">
        <v>11270</v>
      </c>
      <c r="K1590">
        <v>13073200</v>
      </c>
      <c r="L1590">
        <v>0</v>
      </c>
      <c r="M1590">
        <v>13073200</v>
      </c>
      <c r="N1590" t="s">
        <v>1463</v>
      </c>
      <c r="O1590" t="s">
        <v>1330</v>
      </c>
    </row>
    <row r="1591" spans="1:15" x14ac:dyDescent="0.3">
      <c r="A1591" t="str">
        <f t="shared" si="24"/>
        <v>PPBX004999-R001-XX</v>
      </c>
      <c r="B1591" t="s">
        <v>14</v>
      </c>
      <c r="C1591" t="s">
        <v>2074</v>
      </c>
      <c r="D1591" t="s">
        <v>16</v>
      </c>
      <c r="E1591" t="s">
        <v>2075</v>
      </c>
      <c r="F1591" t="s">
        <v>18</v>
      </c>
      <c r="G1591" t="s">
        <v>239</v>
      </c>
      <c r="H1591">
        <v>0</v>
      </c>
      <c r="I1591">
        <v>200</v>
      </c>
      <c r="J1591">
        <v>340</v>
      </c>
      <c r="K1591">
        <v>68000</v>
      </c>
      <c r="L1591">
        <v>0</v>
      </c>
      <c r="M1591">
        <v>68000</v>
      </c>
      <c r="N1591" t="s">
        <v>2076</v>
      </c>
      <c r="O1591" t="s">
        <v>1471</v>
      </c>
    </row>
    <row r="1592" spans="1:15" x14ac:dyDescent="0.3">
      <c r="A1592" t="str">
        <f t="shared" si="24"/>
        <v>PPBX005000-R001-XX</v>
      </c>
      <c r="B1592" t="s">
        <v>14</v>
      </c>
      <c r="C1592" t="s">
        <v>1468</v>
      </c>
      <c r="D1592" t="s">
        <v>16</v>
      </c>
      <c r="E1592" t="s">
        <v>1469</v>
      </c>
      <c r="F1592" t="s">
        <v>18</v>
      </c>
      <c r="G1592" t="s">
        <v>239</v>
      </c>
      <c r="H1592">
        <v>0</v>
      </c>
      <c r="I1592">
        <v>2000</v>
      </c>
      <c r="J1592">
        <v>420</v>
      </c>
      <c r="K1592">
        <v>840000</v>
      </c>
      <c r="L1592">
        <v>0</v>
      </c>
      <c r="M1592">
        <v>840000</v>
      </c>
      <c r="N1592" t="s">
        <v>1470</v>
      </c>
      <c r="O1592" t="s">
        <v>1471</v>
      </c>
    </row>
    <row r="1593" spans="1:15" x14ac:dyDescent="0.3">
      <c r="A1593" t="str">
        <f t="shared" si="24"/>
        <v>PPBX005001-R001-XX</v>
      </c>
      <c r="B1593" t="s">
        <v>14</v>
      </c>
      <c r="C1593" t="s">
        <v>1472</v>
      </c>
      <c r="D1593" t="s">
        <v>16</v>
      </c>
      <c r="E1593" t="s">
        <v>1473</v>
      </c>
      <c r="F1593" t="s">
        <v>18</v>
      </c>
      <c r="G1593" t="s">
        <v>239</v>
      </c>
      <c r="H1593">
        <v>0</v>
      </c>
      <c r="I1593">
        <v>3400</v>
      </c>
      <c r="J1593">
        <v>500</v>
      </c>
      <c r="K1593">
        <v>1700000</v>
      </c>
      <c r="L1593">
        <v>0</v>
      </c>
      <c r="M1593">
        <v>1700000</v>
      </c>
      <c r="N1593" t="s">
        <v>1474</v>
      </c>
      <c r="O1593" t="s">
        <v>1471</v>
      </c>
    </row>
    <row r="1594" spans="1:15" x14ac:dyDescent="0.3">
      <c r="A1594" t="str">
        <f t="shared" si="24"/>
        <v>PPBX005002-R001-XX</v>
      </c>
      <c r="B1594" t="s">
        <v>14</v>
      </c>
      <c r="C1594" t="s">
        <v>1475</v>
      </c>
      <c r="D1594" t="s">
        <v>16</v>
      </c>
      <c r="E1594" t="s">
        <v>1476</v>
      </c>
      <c r="F1594" t="s">
        <v>18</v>
      </c>
      <c r="G1594" t="s">
        <v>239</v>
      </c>
      <c r="H1594">
        <v>0</v>
      </c>
      <c r="I1594">
        <v>600</v>
      </c>
      <c r="J1594">
        <v>570</v>
      </c>
      <c r="K1594">
        <v>342000</v>
      </c>
      <c r="L1594">
        <v>0</v>
      </c>
      <c r="M1594">
        <v>342000</v>
      </c>
      <c r="N1594" t="s">
        <v>1477</v>
      </c>
      <c r="O1594" t="s">
        <v>1471</v>
      </c>
    </row>
    <row r="1595" spans="1:15" x14ac:dyDescent="0.3">
      <c r="A1595" t="str">
        <f t="shared" si="24"/>
        <v>PPBX008514-P000-XX</v>
      </c>
      <c r="B1595" t="s">
        <v>14</v>
      </c>
      <c r="C1595" t="s">
        <v>1478</v>
      </c>
      <c r="D1595" t="s">
        <v>16</v>
      </c>
      <c r="E1595" t="s">
        <v>1479</v>
      </c>
      <c r="F1595" t="s">
        <v>18</v>
      </c>
      <c r="G1595" t="s">
        <v>239</v>
      </c>
      <c r="H1595">
        <v>0</v>
      </c>
      <c r="I1595">
        <v>21</v>
      </c>
      <c r="J1595">
        <v>730</v>
      </c>
      <c r="K1595">
        <v>15330</v>
      </c>
      <c r="L1595">
        <v>0</v>
      </c>
      <c r="M1595">
        <v>15330</v>
      </c>
      <c r="N1595" t="s">
        <v>1480</v>
      </c>
      <c r="O1595" t="s">
        <v>1471</v>
      </c>
    </row>
    <row r="1596" spans="1:15" x14ac:dyDescent="0.3">
      <c r="A1596" t="str">
        <f t="shared" si="24"/>
        <v>PPBX008666-R000-XX</v>
      </c>
      <c r="B1596" t="s">
        <v>14</v>
      </c>
      <c r="C1596" t="s">
        <v>2077</v>
      </c>
      <c r="D1596" t="s">
        <v>16</v>
      </c>
      <c r="E1596" t="s">
        <v>2078</v>
      </c>
      <c r="F1596" t="s">
        <v>18</v>
      </c>
      <c r="G1596" t="s">
        <v>239</v>
      </c>
      <c r="H1596">
        <v>0</v>
      </c>
      <c r="I1596">
        <v>6</v>
      </c>
      <c r="J1596">
        <v>910</v>
      </c>
      <c r="K1596">
        <v>5460</v>
      </c>
      <c r="L1596">
        <v>0</v>
      </c>
      <c r="M1596">
        <v>5460</v>
      </c>
      <c r="N1596" t="s">
        <v>2079</v>
      </c>
      <c r="O1596" t="s">
        <v>1471</v>
      </c>
    </row>
    <row r="1597" spans="1:15" x14ac:dyDescent="0.3">
      <c r="A1597" t="str">
        <f t="shared" si="24"/>
        <v>PPGPBX0025118-XX</v>
      </c>
      <c r="B1597" t="s">
        <v>14</v>
      </c>
      <c r="C1597" t="s">
        <v>1481</v>
      </c>
      <c r="D1597" t="s">
        <v>16</v>
      </c>
      <c r="E1597" t="s">
        <v>1482</v>
      </c>
      <c r="F1597" t="s">
        <v>18</v>
      </c>
      <c r="G1597" t="s">
        <v>239</v>
      </c>
      <c r="H1597">
        <v>0</v>
      </c>
      <c r="I1597">
        <v>35</v>
      </c>
      <c r="J1597">
        <v>3160</v>
      </c>
      <c r="K1597">
        <v>110600</v>
      </c>
      <c r="L1597">
        <v>0</v>
      </c>
      <c r="M1597">
        <v>110600</v>
      </c>
      <c r="N1597" t="s">
        <v>1483</v>
      </c>
      <c r="O1597" t="s">
        <v>1471</v>
      </c>
    </row>
    <row r="1598" spans="1:15" x14ac:dyDescent="0.3">
      <c r="A1598" t="str">
        <f t="shared" si="24"/>
        <v>PPGPBX0025119-XX</v>
      </c>
      <c r="B1598" t="s">
        <v>14</v>
      </c>
      <c r="C1598" t="s">
        <v>1484</v>
      </c>
      <c r="D1598" t="s">
        <v>16</v>
      </c>
      <c r="E1598" t="s">
        <v>1485</v>
      </c>
      <c r="F1598" t="s">
        <v>18</v>
      </c>
      <c r="G1598" t="s">
        <v>239</v>
      </c>
      <c r="H1598">
        <v>0</v>
      </c>
      <c r="I1598">
        <v>35</v>
      </c>
      <c r="J1598">
        <v>3820</v>
      </c>
      <c r="K1598">
        <v>133700</v>
      </c>
      <c r="L1598">
        <v>0</v>
      </c>
      <c r="M1598">
        <v>133700</v>
      </c>
      <c r="N1598" t="s">
        <v>1486</v>
      </c>
      <c r="O1598" t="s">
        <v>1471</v>
      </c>
    </row>
    <row r="1599" spans="1:15" x14ac:dyDescent="0.3">
      <c r="A1599" t="str">
        <f t="shared" si="24"/>
        <v>C11-4A-446-A446</v>
      </c>
      <c r="B1599" t="s">
        <v>1487</v>
      </c>
      <c r="C1599" t="s">
        <v>2080</v>
      </c>
      <c r="D1599" t="s">
        <v>1530</v>
      </c>
      <c r="E1599" t="s">
        <v>2081</v>
      </c>
      <c r="F1599" t="s">
        <v>18</v>
      </c>
      <c r="G1599" t="s">
        <v>239</v>
      </c>
      <c r="H1599">
        <v>0</v>
      </c>
      <c r="I1599">
        <v>203</v>
      </c>
      <c r="J1599">
        <v>7300</v>
      </c>
      <c r="K1599">
        <v>1481900</v>
      </c>
      <c r="L1599">
        <v>0</v>
      </c>
      <c r="M1599">
        <v>1481900</v>
      </c>
      <c r="O1599" t="s">
        <v>21</v>
      </c>
    </row>
    <row r="1600" spans="1:15" x14ac:dyDescent="0.3">
      <c r="A1600" t="str">
        <f t="shared" si="24"/>
        <v>ETFS001264-R000-BK</v>
      </c>
      <c r="B1600" t="s">
        <v>1487</v>
      </c>
      <c r="C1600" t="s">
        <v>55</v>
      </c>
      <c r="D1600" t="s">
        <v>31</v>
      </c>
      <c r="E1600" t="s">
        <v>1643</v>
      </c>
      <c r="F1600" t="s">
        <v>18</v>
      </c>
      <c r="G1600" t="s">
        <v>22</v>
      </c>
      <c r="H1600">
        <v>0</v>
      </c>
      <c r="I1600">
        <v>10</v>
      </c>
      <c r="J1600">
        <v>47</v>
      </c>
      <c r="K1600">
        <v>470</v>
      </c>
      <c r="L1600">
        <v>0</v>
      </c>
      <c r="M1600">
        <v>470</v>
      </c>
      <c r="N1600" t="s">
        <v>56</v>
      </c>
      <c r="O1600" t="s">
        <v>21</v>
      </c>
    </row>
    <row r="1601" spans="1:15" x14ac:dyDescent="0.3">
      <c r="A1601" t="str">
        <f t="shared" si="24"/>
        <v>ETFS001266-R000-ZN</v>
      </c>
      <c r="B1601" t="s">
        <v>1487</v>
      </c>
      <c r="C1601" t="s">
        <v>64</v>
      </c>
      <c r="D1601" t="s">
        <v>490</v>
      </c>
      <c r="E1601" t="s">
        <v>2082</v>
      </c>
      <c r="F1601" t="s">
        <v>18</v>
      </c>
      <c r="G1601" t="s">
        <v>1558</v>
      </c>
      <c r="H1601">
        <v>0</v>
      </c>
      <c r="I1601">
        <v>120</v>
      </c>
      <c r="J1601">
        <v>41</v>
      </c>
      <c r="K1601">
        <v>4920</v>
      </c>
      <c r="L1601">
        <v>0</v>
      </c>
      <c r="M1601">
        <v>4920</v>
      </c>
      <c r="N1601" t="s">
        <v>2083</v>
      </c>
      <c r="O1601" t="s">
        <v>21</v>
      </c>
    </row>
    <row r="1602" spans="1:15" x14ac:dyDescent="0.3">
      <c r="A1602" t="str">
        <f t="shared" si="24"/>
        <v>ETFS001266-R000-ZN</v>
      </c>
      <c r="B1602" t="s">
        <v>1487</v>
      </c>
      <c r="C1602" t="s">
        <v>64</v>
      </c>
      <c r="D1602" t="s">
        <v>490</v>
      </c>
      <c r="E1602" t="s">
        <v>2082</v>
      </c>
      <c r="F1602" t="s">
        <v>18</v>
      </c>
      <c r="G1602" t="s">
        <v>22</v>
      </c>
      <c r="H1602">
        <v>0</v>
      </c>
      <c r="I1602">
        <v>4</v>
      </c>
      <c r="J1602">
        <v>41</v>
      </c>
      <c r="K1602">
        <v>164</v>
      </c>
      <c r="L1602">
        <v>0</v>
      </c>
      <c r="M1602">
        <v>164</v>
      </c>
      <c r="N1602" t="s">
        <v>2083</v>
      </c>
      <c r="O1602" t="s">
        <v>21</v>
      </c>
    </row>
    <row r="1603" spans="1:15" x14ac:dyDescent="0.3">
      <c r="A1603" t="str">
        <f t="shared" ref="A1603:A1666" si="25">C1603&amp;"-"&amp;D1603</f>
        <v>ETHW000356-R000-XX</v>
      </c>
      <c r="B1603" t="s">
        <v>1487</v>
      </c>
      <c r="C1603" t="s">
        <v>2084</v>
      </c>
      <c r="D1603" t="s">
        <v>16</v>
      </c>
      <c r="E1603" t="s">
        <v>2085</v>
      </c>
      <c r="F1603" t="s">
        <v>18</v>
      </c>
      <c r="G1603" t="s">
        <v>22</v>
      </c>
      <c r="H1603">
        <v>0</v>
      </c>
      <c r="I1603">
        <v>2</v>
      </c>
      <c r="J1603">
        <v>690</v>
      </c>
      <c r="K1603">
        <v>1380</v>
      </c>
      <c r="L1603">
        <v>0</v>
      </c>
      <c r="M1603">
        <v>1380</v>
      </c>
      <c r="N1603" t="s">
        <v>618</v>
      </c>
      <c r="O1603" t="s">
        <v>21</v>
      </c>
    </row>
    <row r="1604" spans="1:15" x14ac:dyDescent="0.3">
      <c r="A1604" t="str">
        <f t="shared" si="25"/>
        <v>ETHW000369-R000-XX</v>
      </c>
      <c r="B1604" t="s">
        <v>1487</v>
      </c>
      <c r="C1604" t="s">
        <v>2086</v>
      </c>
      <c r="D1604" t="s">
        <v>16</v>
      </c>
      <c r="E1604" t="s">
        <v>2087</v>
      </c>
      <c r="F1604" t="s">
        <v>18</v>
      </c>
      <c r="G1604" t="s">
        <v>22</v>
      </c>
      <c r="H1604">
        <v>0</v>
      </c>
      <c r="I1604">
        <v>1</v>
      </c>
      <c r="J1604">
        <v>3690</v>
      </c>
      <c r="K1604">
        <v>3690</v>
      </c>
      <c r="L1604">
        <v>0</v>
      </c>
      <c r="M1604">
        <v>3690</v>
      </c>
      <c r="N1604" t="s">
        <v>645</v>
      </c>
      <c r="O1604" t="s">
        <v>21</v>
      </c>
    </row>
    <row r="1605" spans="1:15" x14ac:dyDescent="0.3">
      <c r="A1605" t="str">
        <f t="shared" si="25"/>
        <v>ETHW000370-R000-XX</v>
      </c>
      <c r="B1605" t="s">
        <v>1487</v>
      </c>
      <c r="C1605" t="s">
        <v>2088</v>
      </c>
      <c r="D1605" t="s">
        <v>16</v>
      </c>
      <c r="E1605" t="s">
        <v>2089</v>
      </c>
      <c r="F1605" t="s">
        <v>18</v>
      </c>
      <c r="G1605" t="s">
        <v>22</v>
      </c>
      <c r="H1605">
        <v>0</v>
      </c>
      <c r="I1605">
        <v>1</v>
      </c>
      <c r="J1605">
        <v>3690</v>
      </c>
      <c r="K1605">
        <v>3690</v>
      </c>
      <c r="L1605">
        <v>0</v>
      </c>
      <c r="M1605">
        <v>3690</v>
      </c>
      <c r="N1605" t="s">
        <v>648</v>
      </c>
      <c r="O1605" t="s">
        <v>21</v>
      </c>
    </row>
    <row r="1606" spans="1:15" x14ac:dyDescent="0.3">
      <c r="A1606" t="str">
        <f t="shared" si="25"/>
        <v>ETHW000440-R000-IVD</v>
      </c>
      <c r="B1606" t="s">
        <v>1487</v>
      </c>
      <c r="C1606" t="s">
        <v>1488</v>
      </c>
      <c r="D1606" t="s">
        <v>1489</v>
      </c>
      <c r="E1606" t="s">
        <v>1490</v>
      </c>
      <c r="F1606" t="s">
        <v>18</v>
      </c>
      <c r="G1606" t="s">
        <v>22</v>
      </c>
      <c r="H1606">
        <v>0</v>
      </c>
      <c r="I1606">
        <v>1</v>
      </c>
      <c r="J1606">
        <v>28330</v>
      </c>
      <c r="K1606">
        <v>28330</v>
      </c>
      <c r="L1606">
        <v>0</v>
      </c>
      <c r="M1606">
        <v>28330</v>
      </c>
      <c r="N1606" t="s">
        <v>1491</v>
      </c>
      <c r="O1606" t="s">
        <v>21</v>
      </c>
    </row>
    <row r="1607" spans="1:15" x14ac:dyDescent="0.3">
      <c r="A1607" t="str">
        <f t="shared" si="25"/>
        <v>ETHW001022-R000-BK</v>
      </c>
      <c r="B1607" t="s">
        <v>1487</v>
      </c>
      <c r="C1607" t="s">
        <v>1492</v>
      </c>
      <c r="D1607" t="s">
        <v>31</v>
      </c>
      <c r="E1607" t="s">
        <v>1493</v>
      </c>
      <c r="F1607" t="s">
        <v>18</v>
      </c>
      <c r="G1607" t="s">
        <v>26</v>
      </c>
      <c r="H1607">
        <v>0</v>
      </c>
      <c r="I1607">
        <v>200</v>
      </c>
      <c r="J1607">
        <v>2430</v>
      </c>
      <c r="K1607">
        <v>486000</v>
      </c>
      <c r="L1607">
        <v>0</v>
      </c>
      <c r="M1607">
        <v>486000</v>
      </c>
      <c r="N1607" t="s">
        <v>1494</v>
      </c>
      <c r="O1607" t="s">
        <v>21</v>
      </c>
    </row>
    <row r="1608" spans="1:15" x14ac:dyDescent="0.3">
      <c r="A1608" t="str">
        <f t="shared" si="25"/>
        <v>ETHW001022-R000-BK</v>
      </c>
      <c r="B1608" t="s">
        <v>1487</v>
      </c>
      <c r="C1608" t="s">
        <v>1492</v>
      </c>
      <c r="D1608" t="s">
        <v>31</v>
      </c>
      <c r="E1608" t="s">
        <v>1493</v>
      </c>
      <c r="F1608" t="s">
        <v>18</v>
      </c>
      <c r="G1608" t="s">
        <v>22</v>
      </c>
      <c r="H1608">
        <v>0</v>
      </c>
      <c r="I1608">
        <v>100</v>
      </c>
      <c r="J1608">
        <v>2430</v>
      </c>
      <c r="K1608">
        <v>243000</v>
      </c>
      <c r="L1608">
        <v>0</v>
      </c>
      <c r="M1608">
        <v>243000</v>
      </c>
      <c r="N1608" t="s">
        <v>1494</v>
      </c>
      <c r="O1608" t="s">
        <v>21</v>
      </c>
    </row>
    <row r="1609" spans="1:15" x14ac:dyDescent="0.3">
      <c r="A1609" t="str">
        <f t="shared" si="25"/>
        <v>NSNW000816-R000-KP</v>
      </c>
      <c r="B1609" t="s">
        <v>1487</v>
      </c>
      <c r="C1609" t="s">
        <v>1495</v>
      </c>
      <c r="D1609" t="s">
        <v>1496</v>
      </c>
      <c r="E1609" t="s">
        <v>1497</v>
      </c>
      <c r="F1609" t="s">
        <v>18</v>
      </c>
      <c r="G1609" t="s">
        <v>22</v>
      </c>
      <c r="H1609">
        <v>0</v>
      </c>
      <c r="I1609">
        <v>10</v>
      </c>
      <c r="J1609">
        <v>800</v>
      </c>
      <c r="K1609">
        <v>8000</v>
      </c>
      <c r="L1609">
        <v>0</v>
      </c>
      <c r="M1609">
        <v>8000</v>
      </c>
      <c r="N1609" t="s">
        <v>1498</v>
      </c>
      <c r="O1609" t="s">
        <v>21</v>
      </c>
    </row>
    <row r="1610" spans="1:15" x14ac:dyDescent="0.3">
      <c r="A1610" t="str">
        <f t="shared" si="25"/>
        <v>NSNW000816-R000-KS</v>
      </c>
      <c r="B1610" t="s">
        <v>1487</v>
      </c>
      <c r="C1610" t="s">
        <v>1495</v>
      </c>
      <c r="D1610" t="s">
        <v>1499</v>
      </c>
      <c r="E1610" t="s">
        <v>1500</v>
      </c>
      <c r="F1610" t="s">
        <v>18</v>
      </c>
      <c r="G1610" t="s">
        <v>22</v>
      </c>
      <c r="H1610">
        <v>0</v>
      </c>
      <c r="I1610">
        <v>5</v>
      </c>
      <c r="J1610">
        <v>800</v>
      </c>
      <c r="K1610">
        <v>4000</v>
      </c>
      <c r="L1610">
        <v>0</v>
      </c>
      <c r="M1610">
        <v>4000</v>
      </c>
      <c r="N1610" t="s">
        <v>1498</v>
      </c>
      <c r="O1610" t="s">
        <v>21</v>
      </c>
    </row>
    <row r="1611" spans="1:15" x14ac:dyDescent="0.3">
      <c r="A1611" t="str">
        <f t="shared" si="25"/>
        <v>NSNW000850-R000-A385A</v>
      </c>
      <c r="B1611" t="s">
        <v>1487</v>
      </c>
      <c r="C1611" t="s">
        <v>1501</v>
      </c>
      <c r="D1611" t="s">
        <v>1502</v>
      </c>
      <c r="E1611" t="s">
        <v>1503</v>
      </c>
      <c r="F1611" t="s">
        <v>18</v>
      </c>
      <c r="G1611" t="s">
        <v>29</v>
      </c>
      <c r="H1611">
        <v>0</v>
      </c>
      <c r="I1611">
        <v>5</v>
      </c>
      <c r="J1611">
        <v>16040</v>
      </c>
      <c r="K1611">
        <v>80200</v>
      </c>
      <c r="L1611">
        <v>0</v>
      </c>
      <c r="M1611">
        <v>80200</v>
      </c>
      <c r="N1611" t="s">
        <v>1504</v>
      </c>
      <c r="O1611" t="s">
        <v>21</v>
      </c>
    </row>
    <row r="1612" spans="1:15" x14ac:dyDescent="0.3">
      <c r="A1612" t="str">
        <f t="shared" si="25"/>
        <v>OPPW001913-R000-CG</v>
      </c>
      <c r="B1612" t="s">
        <v>1487</v>
      </c>
      <c r="C1612" t="s">
        <v>2090</v>
      </c>
      <c r="D1612" t="s">
        <v>193</v>
      </c>
      <c r="E1612" t="s">
        <v>2091</v>
      </c>
      <c r="F1612" t="s">
        <v>18</v>
      </c>
      <c r="G1612" t="s">
        <v>29</v>
      </c>
      <c r="H1612">
        <v>0</v>
      </c>
      <c r="I1612">
        <v>1</v>
      </c>
      <c r="J1612">
        <v>1280</v>
      </c>
      <c r="K1612">
        <v>1280</v>
      </c>
      <c r="L1612">
        <v>0</v>
      </c>
      <c r="M1612">
        <v>1280</v>
      </c>
      <c r="N1612" t="s">
        <v>2092</v>
      </c>
      <c r="O1612" t="s">
        <v>21</v>
      </c>
    </row>
    <row r="1613" spans="1:15" x14ac:dyDescent="0.3">
      <c r="A1613" t="str">
        <f t="shared" si="25"/>
        <v>OPPW001921-R000-BK</v>
      </c>
      <c r="B1613" t="s">
        <v>1487</v>
      </c>
      <c r="C1613" t="s">
        <v>2093</v>
      </c>
      <c r="D1613" t="s">
        <v>31</v>
      </c>
      <c r="E1613" t="s">
        <v>2094</v>
      </c>
      <c r="F1613" t="s">
        <v>18</v>
      </c>
      <c r="G1613" t="s">
        <v>239</v>
      </c>
      <c r="H1613">
        <v>0</v>
      </c>
      <c r="I1613">
        <v>40</v>
      </c>
      <c r="J1613">
        <v>940</v>
      </c>
      <c r="K1613">
        <v>37600</v>
      </c>
      <c r="L1613">
        <v>0</v>
      </c>
      <c r="M1613">
        <v>37600</v>
      </c>
      <c r="N1613" t="s">
        <v>2095</v>
      </c>
      <c r="O1613" t="s">
        <v>21</v>
      </c>
    </row>
    <row r="1614" spans="1:15" x14ac:dyDescent="0.3">
      <c r="A1614" t="str">
        <f t="shared" si="25"/>
        <v>OPPW001926-R000-BK</v>
      </c>
      <c r="B1614" t="s">
        <v>1487</v>
      </c>
      <c r="C1614" t="s">
        <v>2096</v>
      </c>
      <c r="D1614" t="s">
        <v>31</v>
      </c>
      <c r="E1614" t="s">
        <v>2097</v>
      </c>
      <c r="F1614" t="s">
        <v>18</v>
      </c>
      <c r="G1614" t="s">
        <v>1558</v>
      </c>
      <c r="H1614">
        <v>0</v>
      </c>
      <c r="I1614">
        <v>160</v>
      </c>
      <c r="J1614">
        <v>260</v>
      </c>
      <c r="K1614">
        <v>41600</v>
      </c>
      <c r="L1614">
        <v>0</v>
      </c>
      <c r="M1614">
        <v>41600</v>
      </c>
      <c r="O1614" t="s">
        <v>21</v>
      </c>
    </row>
    <row r="1615" spans="1:15" x14ac:dyDescent="0.3">
      <c r="A1615" t="str">
        <f t="shared" si="25"/>
        <v>OPPW001931-R000-WH</v>
      </c>
      <c r="B1615" t="s">
        <v>1487</v>
      </c>
      <c r="C1615" t="s">
        <v>2098</v>
      </c>
      <c r="D1615" t="s">
        <v>65</v>
      </c>
      <c r="E1615" t="s">
        <v>2099</v>
      </c>
      <c r="F1615" t="s">
        <v>18</v>
      </c>
      <c r="G1615" t="s">
        <v>29</v>
      </c>
      <c r="H1615">
        <v>0</v>
      </c>
      <c r="I1615">
        <v>1</v>
      </c>
      <c r="J1615">
        <v>480</v>
      </c>
      <c r="K1615">
        <v>480</v>
      </c>
      <c r="L1615">
        <v>0</v>
      </c>
      <c r="M1615">
        <v>480</v>
      </c>
      <c r="O1615" t="s">
        <v>21</v>
      </c>
    </row>
    <row r="1616" spans="1:15" x14ac:dyDescent="0.3">
      <c r="A1616" t="str">
        <f t="shared" si="25"/>
        <v>OPPW001984-R000-BK</v>
      </c>
      <c r="B1616" t="s">
        <v>1487</v>
      </c>
      <c r="C1616" t="s">
        <v>2100</v>
      </c>
      <c r="D1616" t="s">
        <v>31</v>
      </c>
      <c r="E1616" t="s">
        <v>2101</v>
      </c>
      <c r="F1616" t="s">
        <v>18</v>
      </c>
      <c r="G1616" t="s">
        <v>1558</v>
      </c>
      <c r="H1616">
        <v>0</v>
      </c>
      <c r="I1616">
        <v>80</v>
      </c>
      <c r="J1616">
        <v>2820</v>
      </c>
      <c r="K1616">
        <v>225600</v>
      </c>
      <c r="L1616">
        <v>0</v>
      </c>
      <c r="M1616">
        <v>225600</v>
      </c>
      <c r="N1616" t="s">
        <v>2102</v>
      </c>
      <c r="O1616" t="s">
        <v>21</v>
      </c>
    </row>
    <row r="1617" spans="1:15" x14ac:dyDescent="0.3">
      <c r="A1617" t="str">
        <f t="shared" si="25"/>
        <v>OPPW002004-R000-XX</v>
      </c>
      <c r="B1617" t="s">
        <v>1487</v>
      </c>
      <c r="C1617" t="s">
        <v>2103</v>
      </c>
      <c r="D1617" t="s">
        <v>16</v>
      </c>
      <c r="E1617" t="s">
        <v>2104</v>
      </c>
      <c r="F1617" t="s">
        <v>18</v>
      </c>
      <c r="G1617" t="s">
        <v>26</v>
      </c>
      <c r="H1617">
        <v>0</v>
      </c>
      <c r="I1617">
        <v>500</v>
      </c>
      <c r="J1617">
        <v>400</v>
      </c>
      <c r="K1617">
        <v>200000</v>
      </c>
      <c r="L1617">
        <v>0</v>
      </c>
      <c r="M1617">
        <v>200000</v>
      </c>
      <c r="O1617" t="s">
        <v>21</v>
      </c>
    </row>
    <row r="1618" spans="1:15" x14ac:dyDescent="0.3">
      <c r="A1618" t="str">
        <f t="shared" si="25"/>
        <v>OPPW002005-R000-XX</v>
      </c>
      <c r="B1618" t="s">
        <v>1487</v>
      </c>
      <c r="C1618" t="s">
        <v>2105</v>
      </c>
      <c r="D1618" t="s">
        <v>16</v>
      </c>
      <c r="E1618" t="s">
        <v>2106</v>
      </c>
      <c r="F1618" t="s">
        <v>18</v>
      </c>
      <c r="G1618" t="s">
        <v>26</v>
      </c>
      <c r="H1618">
        <v>0</v>
      </c>
      <c r="I1618">
        <v>500</v>
      </c>
      <c r="J1618">
        <v>400</v>
      </c>
      <c r="K1618">
        <v>200000</v>
      </c>
      <c r="L1618">
        <v>0</v>
      </c>
      <c r="M1618">
        <v>200000</v>
      </c>
      <c r="O1618" t="s">
        <v>21</v>
      </c>
    </row>
    <row r="1619" spans="1:15" x14ac:dyDescent="0.3">
      <c r="A1619" t="str">
        <f t="shared" si="25"/>
        <v>OPPW002387-R000-TS</v>
      </c>
      <c r="B1619" t="s">
        <v>1487</v>
      </c>
      <c r="C1619" t="s">
        <v>368</v>
      </c>
      <c r="D1619" t="s">
        <v>168</v>
      </c>
      <c r="E1619" t="s">
        <v>369</v>
      </c>
      <c r="F1619" t="s">
        <v>18</v>
      </c>
      <c r="G1619" t="s">
        <v>22</v>
      </c>
      <c r="H1619">
        <v>0</v>
      </c>
      <c r="I1619">
        <v>59</v>
      </c>
      <c r="J1619">
        <v>90</v>
      </c>
      <c r="K1619">
        <v>5310</v>
      </c>
      <c r="L1619">
        <v>0</v>
      </c>
      <c r="M1619">
        <v>5310</v>
      </c>
      <c r="N1619" t="s">
        <v>370</v>
      </c>
      <c r="O1619" t="s">
        <v>21</v>
      </c>
    </row>
    <row r="1620" spans="1:15" x14ac:dyDescent="0.3">
      <c r="A1620" t="str">
        <f t="shared" si="25"/>
        <v>OPPW002445-R000-BK</v>
      </c>
      <c r="B1620" t="s">
        <v>1487</v>
      </c>
      <c r="C1620" t="s">
        <v>434</v>
      </c>
      <c r="D1620" t="s">
        <v>31</v>
      </c>
      <c r="E1620" t="s">
        <v>435</v>
      </c>
      <c r="F1620" t="s">
        <v>18</v>
      </c>
      <c r="G1620" t="s">
        <v>22</v>
      </c>
      <c r="H1620">
        <v>0</v>
      </c>
      <c r="I1620">
        <v>1</v>
      </c>
      <c r="J1620">
        <v>2340</v>
      </c>
      <c r="K1620">
        <v>2340</v>
      </c>
      <c r="L1620">
        <v>0</v>
      </c>
      <c r="M1620">
        <v>2340</v>
      </c>
      <c r="N1620" t="s">
        <v>436</v>
      </c>
      <c r="O1620" t="s">
        <v>21</v>
      </c>
    </row>
    <row r="1621" spans="1:15" x14ac:dyDescent="0.3">
      <c r="A1621" t="str">
        <f t="shared" si="25"/>
        <v>P21-3I-214-WH</v>
      </c>
      <c r="B1621" t="s">
        <v>1487</v>
      </c>
      <c r="C1621" t="s">
        <v>2107</v>
      </c>
      <c r="D1621" t="s">
        <v>65</v>
      </c>
      <c r="E1621" t="s">
        <v>2108</v>
      </c>
      <c r="F1621" t="s">
        <v>18</v>
      </c>
      <c r="G1621" t="s">
        <v>29</v>
      </c>
      <c r="H1621">
        <v>0</v>
      </c>
      <c r="I1621">
        <v>40</v>
      </c>
      <c r="J1621">
        <v>360</v>
      </c>
      <c r="K1621">
        <v>14400</v>
      </c>
      <c r="L1621">
        <v>0</v>
      </c>
      <c r="M1621">
        <v>14400</v>
      </c>
      <c r="N1621" t="s">
        <v>2109</v>
      </c>
      <c r="O1621" t="s">
        <v>21</v>
      </c>
    </row>
    <row r="1622" spans="1:15" x14ac:dyDescent="0.3">
      <c r="A1622" t="str">
        <f t="shared" si="25"/>
        <v>P21-4A-004-BLK</v>
      </c>
      <c r="B1622" t="s">
        <v>1487</v>
      </c>
      <c r="C1622" t="s">
        <v>1508</v>
      </c>
      <c r="D1622" t="s">
        <v>555</v>
      </c>
      <c r="E1622" t="s">
        <v>1509</v>
      </c>
      <c r="F1622" t="s">
        <v>18</v>
      </c>
      <c r="G1622" t="s">
        <v>29</v>
      </c>
      <c r="H1622">
        <v>0</v>
      </c>
      <c r="I1622">
        <v>14</v>
      </c>
      <c r="J1622">
        <v>47900</v>
      </c>
      <c r="K1622">
        <v>670600</v>
      </c>
      <c r="L1622">
        <v>0</v>
      </c>
      <c r="M1622">
        <v>670600</v>
      </c>
      <c r="N1622" t="s">
        <v>1510</v>
      </c>
      <c r="O1622" t="s">
        <v>21</v>
      </c>
    </row>
    <row r="1623" spans="1:15" x14ac:dyDescent="0.3">
      <c r="A1623" t="str">
        <f t="shared" si="25"/>
        <v>P21-4A-006-BK</v>
      </c>
      <c r="B1623" t="s">
        <v>1487</v>
      </c>
      <c r="C1623" t="s">
        <v>1511</v>
      </c>
      <c r="D1623" t="s">
        <v>31</v>
      </c>
      <c r="E1623" t="s">
        <v>1512</v>
      </c>
      <c r="F1623" t="s">
        <v>18</v>
      </c>
      <c r="G1623" t="s">
        <v>29</v>
      </c>
      <c r="H1623">
        <v>0</v>
      </c>
      <c r="I1623">
        <v>9</v>
      </c>
      <c r="J1623">
        <v>53560</v>
      </c>
      <c r="K1623">
        <v>482040</v>
      </c>
      <c r="L1623">
        <v>0</v>
      </c>
      <c r="M1623">
        <v>482040</v>
      </c>
      <c r="N1623" t="s">
        <v>1513</v>
      </c>
      <c r="O1623" t="s">
        <v>21</v>
      </c>
    </row>
    <row r="1624" spans="1:15" x14ac:dyDescent="0.3">
      <c r="A1624" t="str">
        <f t="shared" si="25"/>
        <v>P21-4A-009-XX</v>
      </c>
      <c r="B1624" t="s">
        <v>1487</v>
      </c>
      <c r="C1624" t="s">
        <v>2110</v>
      </c>
      <c r="D1624" t="s">
        <v>16</v>
      </c>
      <c r="E1624" t="s">
        <v>2111</v>
      </c>
      <c r="F1624" t="s">
        <v>18</v>
      </c>
      <c r="G1624" t="s">
        <v>29</v>
      </c>
      <c r="H1624">
        <v>0</v>
      </c>
      <c r="I1624">
        <v>1</v>
      </c>
      <c r="J1624">
        <v>55620</v>
      </c>
      <c r="K1624">
        <v>55620</v>
      </c>
      <c r="L1624">
        <v>0</v>
      </c>
      <c r="M1624">
        <v>55620</v>
      </c>
      <c r="N1624" t="s">
        <v>2112</v>
      </c>
      <c r="O1624" t="s">
        <v>21</v>
      </c>
    </row>
    <row r="1625" spans="1:15" x14ac:dyDescent="0.3">
      <c r="A1625" t="str">
        <f t="shared" si="25"/>
        <v>P21-4A-031-BK</v>
      </c>
      <c r="B1625" t="s">
        <v>1487</v>
      </c>
      <c r="C1625" t="s">
        <v>1514</v>
      </c>
      <c r="D1625" t="s">
        <v>31</v>
      </c>
      <c r="E1625" t="s">
        <v>1515</v>
      </c>
      <c r="F1625" t="s">
        <v>18</v>
      </c>
      <c r="G1625" t="s">
        <v>29</v>
      </c>
      <c r="H1625">
        <v>0</v>
      </c>
      <c r="I1625">
        <v>1</v>
      </c>
      <c r="J1625">
        <v>60770</v>
      </c>
      <c r="K1625">
        <v>60770</v>
      </c>
      <c r="L1625">
        <v>0</v>
      </c>
      <c r="M1625">
        <v>60770</v>
      </c>
      <c r="N1625" t="s">
        <v>1516</v>
      </c>
      <c r="O1625" t="s">
        <v>21</v>
      </c>
    </row>
    <row r="1626" spans="1:15" x14ac:dyDescent="0.3">
      <c r="A1626" t="str">
        <f t="shared" si="25"/>
        <v>P23-1D-006-AN</v>
      </c>
      <c r="B1626" t="s">
        <v>1487</v>
      </c>
      <c r="C1626" t="s">
        <v>2113</v>
      </c>
      <c r="D1626" t="s">
        <v>2114</v>
      </c>
      <c r="E1626" t="s">
        <v>2115</v>
      </c>
      <c r="F1626" t="s">
        <v>18</v>
      </c>
      <c r="G1626" t="s">
        <v>29</v>
      </c>
      <c r="H1626">
        <v>0</v>
      </c>
      <c r="I1626">
        <v>1</v>
      </c>
      <c r="J1626">
        <v>9200</v>
      </c>
      <c r="K1626">
        <v>9200</v>
      </c>
      <c r="L1626">
        <v>0</v>
      </c>
      <c r="M1626">
        <v>9200</v>
      </c>
      <c r="N1626" t="s">
        <v>2116</v>
      </c>
      <c r="O1626" t="s">
        <v>21</v>
      </c>
    </row>
    <row r="1627" spans="1:15" x14ac:dyDescent="0.3">
      <c r="A1627" t="str">
        <f t="shared" si="25"/>
        <v>STCG001279-R000-TS</v>
      </c>
      <c r="B1627" t="s">
        <v>1487</v>
      </c>
      <c r="C1627" t="s">
        <v>2117</v>
      </c>
      <c r="D1627" t="s">
        <v>168</v>
      </c>
      <c r="E1627" t="s">
        <v>2118</v>
      </c>
      <c r="F1627" t="s">
        <v>18</v>
      </c>
      <c r="G1627" t="s">
        <v>22</v>
      </c>
      <c r="H1627">
        <v>0</v>
      </c>
      <c r="I1627">
        <v>1</v>
      </c>
      <c r="J1627">
        <v>1830</v>
      </c>
      <c r="K1627">
        <v>1830</v>
      </c>
      <c r="L1627">
        <v>0</v>
      </c>
      <c r="M1627">
        <v>1830</v>
      </c>
      <c r="N1627" t="s">
        <v>2119</v>
      </c>
      <c r="O1627" t="s">
        <v>21</v>
      </c>
    </row>
    <row r="1628" spans="1:15" x14ac:dyDescent="0.3">
      <c r="A1628" t="str">
        <f t="shared" si="25"/>
        <v>STCG001515-R000-GY</v>
      </c>
      <c r="B1628" t="s">
        <v>1487</v>
      </c>
      <c r="C1628" t="s">
        <v>2120</v>
      </c>
      <c r="D1628" t="s">
        <v>47</v>
      </c>
      <c r="E1628" t="s">
        <v>2121</v>
      </c>
      <c r="F1628" t="s">
        <v>18</v>
      </c>
      <c r="G1628" t="s">
        <v>239</v>
      </c>
      <c r="H1628">
        <v>0</v>
      </c>
      <c r="I1628">
        <v>3</v>
      </c>
      <c r="J1628">
        <v>60930</v>
      </c>
      <c r="K1628">
        <v>182790</v>
      </c>
      <c r="L1628">
        <v>0</v>
      </c>
      <c r="M1628">
        <v>182790</v>
      </c>
      <c r="N1628" t="s">
        <v>2122</v>
      </c>
      <c r="O1628" t="s">
        <v>21</v>
      </c>
    </row>
    <row r="1629" spans="1:15" x14ac:dyDescent="0.3">
      <c r="A1629" t="str">
        <f t="shared" si="25"/>
        <v>STCG001516-R000-GY</v>
      </c>
      <c r="B1629" t="s">
        <v>1487</v>
      </c>
      <c r="C1629" t="s">
        <v>2123</v>
      </c>
      <c r="D1629" t="s">
        <v>47</v>
      </c>
      <c r="E1629" t="s">
        <v>2124</v>
      </c>
      <c r="F1629" t="s">
        <v>18</v>
      </c>
      <c r="G1629" t="s">
        <v>239</v>
      </c>
      <c r="H1629">
        <v>0</v>
      </c>
      <c r="I1629">
        <v>12</v>
      </c>
      <c r="J1629">
        <v>96050</v>
      </c>
      <c r="K1629">
        <v>1152600</v>
      </c>
      <c r="L1629">
        <v>0</v>
      </c>
      <c r="M1629">
        <v>1152600</v>
      </c>
      <c r="N1629" t="s">
        <v>2125</v>
      </c>
      <c r="O1629" t="s">
        <v>21</v>
      </c>
    </row>
    <row r="1630" spans="1:15" x14ac:dyDescent="0.3">
      <c r="A1630" t="str">
        <f t="shared" si="25"/>
        <v>STCG002565-R000-IVD</v>
      </c>
      <c r="B1630" t="s">
        <v>1487</v>
      </c>
      <c r="C1630" t="s">
        <v>1518</v>
      </c>
      <c r="D1630" t="s">
        <v>1489</v>
      </c>
      <c r="E1630" t="s">
        <v>1519</v>
      </c>
      <c r="F1630" t="s">
        <v>18</v>
      </c>
      <c r="G1630" t="s">
        <v>22</v>
      </c>
      <c r="H1630">
        <v>0</v>
      </c>
      <c r="I1630">
        <v>1</v>
      </c>
      <c r="J1630">
        <v>29360</v>
      </c>
      <c r="K1630">
        <v>29360</v>
      </c>
      <c r="L1630">
        <v>0</v>
      </c>
      <c r="M1630">
        <v>29360</v>
      </c>
      <c r="N1630" t="s">
        <v>1520</v>
      </c>
      <c r="O1630" t="s">
        <v>21</v>
      </c>
    </row>
    <row r="1631" spans="1:15" x14ac:dyDescent="0.3">
      <c r="A1631" t="str">
        <f t="shared" si="25"/>
        <v>STCG002565-R000-IVD</v>
      </c>
      <c r="B1631" t="s">
        <v>1487</v>
      </c>
      <c r="C1631" t="s">
        <v>1518</v>
      </c>
      <c r="D1631" t="s">
        <v>1489</v>
      </c>
      <c r="E1631" t="s">
        <v>1519</v>
      </c>
      <c r="F1631" t="s">
        <v>18</v>
      </c>
      <c r="G1631" t="s">
        <v>26</v>
      </c>
      <c r="H1631">
        <v>0</v>
      </c>
      <c r="I1631">
        <v>96</v>
      </c>
      <c r="J1631">
        <v>29360</v>
      </c>
      <c r="K1631">
        <v>2818560</v>
      </c>
      <c r="L1631">
        <v>0</v>
      </c>
      <c r="M1631">
        <v>2818560</v>
      </c>
      <c r="N1631" t="s">
        <v>1520</v>
      </c>
      <c r="O1631" t="s">
        <v>21</v>
      </c>
    </row>
    <row r="1632" spans="1:15" x14ac:dyDescent="0.3">
      <c r="A1632" t="str">
        <f t="shared" si="25"/>
        <v>W23-1R-521L-XX</v>
      </c>
      <c r="B1632" t="s">
        <v>1487</v>
      </c>
      <c r="C1632" t="s">
        <v>637</v>
      </c>
      <c r="D1632" t="s">
        <v>16</v>
      </c>
      <c r="E1632" t="s">
        <v>638</v>
      </c>
      <c r="F1632" t="s">
        <v>18</v>
      </c>
      <c r="G1632" t="s">
        <v>22</v>
      </c>
      <c r="H1632">
        <v>0</v>
      </c>
      <c r="I1632">
        <v>4</v>
      </c>
      <c r="J1632">
        <v>3110</v>
      </c>
      <c r="K1632">
        <v>12440</v>
      </c>
      <c r="L1632">
        <v>0</v>
      </c>
      <c r="M1632">
        <v>12440</v>
      </c>
      <c r="N1632" t="s">
        <v>639</v>
      </c>
      <c r="O1632" t="s">
        <v>21</v>
      </c>
    </row>
    <row r="1633" spans="1:15" x14ac:dyDescent="0.3">
      <c r="A1633" t="str">
        <f t="shared" si="25"/>
        <v>W23-1R-521R-XX</v>
      </c>
      <c r="B1633" t="s">
        <v>1487</v>
      </c>
      <c r="C1633" t="s">
        <v>640</v>
      </c>
      <c r="D1633" t="s">
        <v>16</v>
      </c>
      <c r="E1633" t="s">
        <v>641</v>
      </c>
      <c r="F1633" t="s">
        <v>18</v>
      </c>
      <c r="G1633" t="s">
        <v>22</v>
      </c>
      <c r="H1633">
        <v>0</v>
      </c>
      <c r="I1633">
        <v>4</v>
      </c>
      <c r="J1633">
        <v>3110</v>
      </c>
      <c r="K1633">
        <v>12440</v>
      </c>
      <c r="L1633">
        <v>0</v>
      </c>
      <c r="M1633">
        <v>12440</v>
      </c>
      <c r="N1633" t="s">
        <v>642</v>
      </c>
      <c r="O1633" t="s">
        <v>21</v>
      </c>
    </row>
    <row r="1634" spans="1:15" x14ac:dyDescent="0.3">
      <c r="A1634" t="str">
        <f t="shared" si="25"/>
        <v>WDWGMG0005724-KAP</v>
      </c>
      <c r="B1634" t="s">
        <v>1487</v>
      </c>
      <c r="C1634" t="s">
        <v>1521</v>
      </c>
      <c r="D1634" t="s">
        <v>261</v>
      </c>
      <c r="E1634" t="s">
        <v>1522</v>
      </c>
      <c r="F1634" t="s">
        <v>18</v>
      </c>
      <c r="G1634" t="s">
        <v>26</v>
      </c>
      <c r="H1634">
        <v>0</v>
      </c>
      <c r="I1634">
        <v>20</v>
      </c>
      <c r="J1634">
        <v>73780</v>
      </c>
      <c r="K1634">
        <v>1475600</v>
      </c>
      <c r="L1634">
        <v>0</v>
      </c>
      <c r="M1634">
        <v>1475600</v>
      </c>
      <c r="N1634" t="s">
        <v>87</v>
      </c>
      <c r="O1634" t="s">
        <v>21</v>
      </c>
    </row>
    <row r="1635" spans="1:15" x14ac:dyDescent="0.3">
      <c r="A1635" t="str">
        <f t="shared" si="25"/>
        <v>WDWW004772-R000-FK</v>
      </c>
      <c r="B1635" t="s">
        <v>1487</v>
      </c>
      <c r="C1635" t="s">
        <v>2126</v>
      </c>
      <c r="D1635" t="s">
        <v>229</v>
      </c>
      <c r="E1635" t="s">
        <v>2127</v>
      </c>
      <c r="F1635" t="s">
        <v>18</v>
      </c>
      <c r="G1635" t="s">
        <v>29</v>
      </c>
      <c r="H1635">
        <v>0</v>
      </c>
      <c r="I1635">
        <v>2</v>
      </c>
      <c r="J1635">
        <v>112740</v>
      </c>
      <c r="K1635">
        <v>225480</v>
      </c>
      <c r="L1635">
        <v>0</v>
      </c>
      <c r="M1635">
        <v>225480</v>
      </c>
      <c r="N1635" t="s">
        <v>2128</v>
      </c>
      <c r="O1635" t="s">
        <v>21</v>
      </c>
    </row>
    <row r="1636" spans="1:15" x14ac:dyDescent="0.3">
      <c r="A1636" t="str">
        <f t="shared" si="25"/>
        <v>WDWW004778-R000-NCE</v>
      </c>
      <c r="B1636" t="s">
        <v>1487</v>
      </c>
      <c r="C1636" t="s">
        <v>2129</v>
      </c>
      <c r="D1636" t="s">
        <v>1556</v>
      </c>
      <c r="E1636" t="s">
        <v>2130</v>
      </c>
      <c r="F1636" t="s">
        <v>18</v>
      </c>
      <c r="G1636" t="s">
        <v>29</v>
      </c>
      <c r="H1636">
        <v>0</v>
      </c>
      <c r="I1636">
        <v>1</v>
      </c>
      <c r="J1636">
        <v>320770</v>
      </c>
      <c r="K1636">
        <v>320770</v>
      </c>
      <c r="L1636">
        <v>0</v>
      </c>
      <c r="M1636">
        <v>320770</v>
      </c>
      <c r="N1636" t="s">
        <v>2131</v>
      </c>
      <c r="O1636" t="s">
        <v>21</v>
      </c>
    </row>
    <row r="1637" spans="1:15" x14ac:dyDescent="0.3">
      <c r="A1637" t="str">
        <f t="shared" si="25"/>
        <v>WDWW004789-R000-BK</v>
      </c>
      <c r="B1637" t="s">
        <v>1487</v>
      </c>
      <c r="C1637" t="s">
        <v>1523</v>
      </c>
      <c r="D1637" t="s">
        <v>31</v>
      </c>
      <c r="E1637" t="s">
        <v>1524</v>
      </c>
      <c r="F1637" t="s">
        <v>18</v>
      </c>
      <c r="G1637" t="s">
        <v>29</v>
      </c>
      <c r="H1637">
        <v>0</v>
      </c>
      <c r="I1637">
        <v>9</v>
      </c>
      <c r="J1637">
        <v>55620</v>
      </c>
      <c r="K1637">
        <v>500580</v>
      </c>
      <c r="L1637">
        <v>0</v>
      </c>
      <c r="M1637">
        <v>500580</v>
      </c>
      <c r="N1637" t="s">
        <v>1525</v>
      </c>
      <c r="O1637" t="s">
        <v>21</v>
      </c>
    </row>
    <row r="1638" spans="1:15" x14ac:dyDescent="0.3">
      <c r="A1638" t="str">
        <f t="shared" si="25"/>
        <v>WDWW009997-R000-A446</v>
      </c>
      <c r="B1638" t="s">
        <v>1487</v>
      </c>
      <c r="C1638" t="s">
        <v>2132</v>
      </c>
      <c r="D1638" t="s">
        <v>1530</v>
      </c>
      <c r="E1638" t="s">
        <v>2133</v>
      </c>
      <c r="F1638" t="s">
        <v>18</v>
      </c>
      <c r="G1638" t="s">
        <v>29</v>
      </c>
      <c r="H1638">
        <v>0</v>
      </c>
      <c r="I1638">
        <v>1</v>
      </c>
      <c r="J1638">
        <v>185400</v>
      </c>
      <c r="K1638">
        <v>185400</v>
      </c>
      <c r="L1638">
        <v>0</v>
      </c>
      <c r="M1638">
        <v>185400</v>
      </c>
      <c r="N1638" t="s">
        <v>2134</v>
      </c>
      <c r="O1638" t="s">
        <v>21</v>
      </c>
    </row>
    <row r="1639" spans="1:15" x14ac:dyDescent="0.3">
      <c r="A1639" t="str">
        <f t="shared" si="25"/>
        <v>WDWW014811-R000-A361</v>
      </c>
      <c r="B1639" t="s">
        <v>1487</v>
      </c>
      <c r="C1639" t="s">
        <v>1526</v>
      </c>
      <c r="D1639" t="s">
        <v>1527</v>
      </c>
      <c r="E1639" t="s">
        <v>1528</v>
      </c>
      <c r="F1639" t="s">
        <v>18</v>
      </c>
      <c r="G1639" t="s">
        <v>29</v>
      </c>
      <c r="H1639">
        <v>0</v>
      </c>
      <c r="I1639">
        <v>1</v>
      </c>
      <c r="J1639">
        <v>32960</v>
      </c>
      <c r="K1639">
        <v>32960</v>
      </c>
      <c r="L1639">
        <v>0</v>
      </c>
      <c r="M1639">
        <v>32960</v>
      </c>
      <c r="N1639" t="s">
        <v>1529</v>
      </c>
      <c r="O1639" t="s">
        <v>21</v>
      </c>
    </row>
    <row r="1640" spans="1:15" x14ac:dyDescent="0.3">
      <c r="A1640" t="str">
        <f t="shared" si="25"/>
        <v>WDWW014811-R000-A446</v>
      </c>
      <c r="B1640" t="s">
        <v>1487</v>
      </c>
      <c r="C1640" t="s">
        <v>1526</v>
      </c>
      <c r="D1640" t="s">
        <v>1530</v>
      </c>
      <c r="E1640" t="s">
        <v>1531</v>
      </c>
      <c r="F1640" t="s">
        <v>18</v>
      </c>
      <c r="G1640" t="s">
        <v>29</v>
      </c>
      <c r="H1640">
        <v>0</v>
      </c>
      <c r="I1640">
        <v>1</v>
      </c>
      <c r="J1640">
        <v>32960</v>
      </c>
      <c r="K1640">
        <v>32960</v>
      </c>
      <c r="L1640">
        <v>0</v>
      </c>
      <c r="M1640">
        <v>32960</v>
      </c>
      <c r="N1640" t="s">
        <v>1532</v>
      </c>
      <c r="O1640" t="s">
        <v>21</v>
      </c>
    </row>
    <row r="1641" spans="1:15" x14ac:dyDescent="0.3">
      <c r="A1641" t="str">
        <f t="shared" si="25"/>
        <v>WDWW014812-R000-A361</v>
      </c>
      <c r="B1641" t="s">
        <v>1487</v>
      </c>
      <c r="C1641" t="s">
        <v>1533</v>
      </c>
      <c r="D1641" t="s">
        <v>1527</v>
      </c>
      <c r="E1641" t="s">
        <v>1534</v>
      </c>
      <c r="F1641" t="s">
        <v>18</v>
      </c>
      <c r="G1641" t="s">
        <v>29</v>
      </c>
      <c r="H1641">
        <v>0</v>
      </c>
      <c r="I1641">
        <v>4</v>
      </c>
      <c r="J1641">
        <v>56650</v>
      </c>
      <c r="K1641">
        <v>226600</v>
      </c>
      <c r="L1641">
        <v>0</v>
      </c>
      <c r="M1641">
        <v>226600</v>
      </c>
      <c r="N1641" t="s">
        <v>1535</v>
      </c>
      <c r="O1641" t="s">
        <v>21</v>
      </c>
    </row>
    <row r="1642" spans="1:15" x14ac:dyDescent="0.3">
      <c r="A1642" t="str">
        <f t="shared" si="25"/>
        <v>WDWW014812-R000-A446</v>
      </c>
      <c r="B1642" t="s">
        <v>1487</v>
      </c>
      <c r="C1642" t="s">
        <v>1533</v>
      </c>
      <c r="D1642" t="s">
        <v>1530</v>
      </c>
      <c r="E1642" t="s">
        <v>1536</v>
      </c>
      <c r="F1642" t="s">
        <v>18</v>
      </c>
      <c r="G1642" t="s">
        <v>29</v>
      </c>
      <c r="H1642">
        <v>0</v>
      </c>
      <c r="I1642">
        <v>6</v>
      </c>
      <c r="J1642">
        <v>56650</v>
      </c>
      <c r="K1642">
        <v>339900</v>
      </c>
      <c r="L1642">
        <v>0</v>
      </c>
      <c r="M1642">
        <v>339900</v>
      </c>
      <c r="N1642" t="s">
        <v>1537</v>
      </c>
      <c r="O1642" t="s">
        <v>21</v>
      </c>
    </row>
    <row r="1643" spans="1:15" x14ac:dyDescent="0.3">
      <c r="A1643" t="str">
        <f t="shared" si="25"/>
        <v>WDWW112573-R000-DGM</v>
      </c>
      <c r="B1643" t="s">
        <v>1487</v>
      </c>
      <c r="C1643" t="s">
        <v>1538</v>
      </c>
      <c r="D1643" t="s">
        <v>767</v>
      </c>
      <c r="E1643" t="s">
        <v>1539</v>
      </c>
      <c r="F1643" t="s">
        <v>18</v>
      </c>
      <c r="G1643" t="s">
        <v>22</v>
      </c>
      <c r="H1643">
        <v>0</v>
      </c>
      <c r="I1643">
        <v>1</v>
      </c>
      <c r="J1643">
        <v>21630</v>
      </c>
      <c r="K1643">
        <v>21630</v>
      </c>
      <c r="L1643">
        <v>0</v>
      </c>
      <c r="M1643">
        <v>21630</v>
      </c>
      <c r="N1643" t="s">
        <v>1540</v>
      </c>
      <c r="O1643" t="s">
        <v>21</v>
      </c>
    </row>
    <row r="1644" spans="1:15" x14ac:dyDescent="0.3">
      <c r="A1644" t="str">
        <f t="shared" si="25"/>
        <v>WDWW112573-R000-GYM</v>
      </c>
      <c r="B1644" t="s">
        <v>1487</v>
      </c>
      <c r="C1644" t="s">
        <v>1538</v>
      </c>
      <c r="D1644" t="s">
        <v>570</v>
      </c>
      <c r="E1644" t="s">
        <v>1539</v>
      </c>
      <c r="F1644" t="s">
        <v>18</v>
      </c>
      <c r="G1644" t="s">
        <v>22</v>
      </c>
      <c r="H1644">
        <v>0</v>
      </c>
      <c r="I1644">
        <v>3</v>
      </c>
      <c r="J1644">
        <v>21630</v>
      </c>
      <c r="K1644">
        <v>64890</v>
      </c>
      <c r="L1644">
        <v>0</v>
      </c>
      <c r="M1644">
        <v>64890</v>
      </c>
      <c r="N1644" t="s">
        <v>1540</v>
      </c>
      <c r="O1644" t="s">
        <v>21</v>
      </c>
    </row>
    <row r="1645" spans="1:15" x14ac:dyDescent="0.3">
      <c r="A1645" t="str">
        <f t="shared" si="25"/>
        <v>WDWW112573-R000-OAT</v>
      </c>
      <c r="B1645" t="s">
        <v>1487</v>
      </c>
      <c r="C1645" t="s">
        <v>1538</v>
      </c>
      <c r="D1645" t="s">
        <v>223</v>
      </c>
      <c r="E1645" t="s">
        <v>1539</v>
      </c>
      <c r="F1645" t="s">
        <v>18</v>
      </c>
      <c r="G1645" t="s">
        <v>22</v>
      </c>
      <c r="H1645">
        <v>0</v>
      </c>
      <c r="I1645">
        <v>1</v>
      </c>
      <c r="J1645">
        <v>21630</v>
      </c>
      <c r="K1645">
        <v>21630</v>
      </c>
      <c r="L1645">
        <v>0</v>
      </c>
      <c r="M1645">
        <v>21630</v>
      </c>
      <c r="N1645" t="s">
        <v>1540</v>
      </c>
      <c r="O1645" t="s">
        <v>21</v>
      </c>
    </row>
    <row r="1646" spans="1:15" x14ac:dyDescent="0.3">
      <c r="A1646" t="str">
        <f t="shared" si="25"/>
        <v>WDWW112574-R000-DGM</v>
      </c>
      <c r="B1646" t="s">
        <v>1487</v>
      </c>
      <c r="C1646" t="s">
        <v>1541</v>
      </c>
      <c r="D1646" t="s">
        <v>767</v>
      </c>
      <c r="E1646" t="s">
        <v>1542</v>
      </c>
      <c r="F1646" t="s">
        <v>18</v>
      </c>
      <c r="G1646" t="s">
        <v>22</v>
      </c>
      <c r="H1646">
        <v>0</v>
      </c>
      <c r="I1646">
        <v>1</v>
      </c>
      <c r="J1646">
        <v>14220</v>
      </c>
      <c r="K1646">
        <v>14220</v>
      </c>
      <c r="L1646">
        <v>0</v>
      </c>
      <c r="M1646">
        <v>14220</v>
      </c>
      <c r="N1646" t="s">
        <v>1543</v>
      </c>
      <c r="O1646" t="s">
        <v>21</v>
      </c>
    </row>
    <row r="1647" spans="1:15" x14ac:dyDescent="0.3">
      <c r="A1647" t="str">
        <f t="shared" si="25"/>
        <v>WDWW112574-R000-OAT</v>
      </c>
      <c r="B1647" t="s">
        <v>1487</v>
      </c>
      <c r="C1647" t="s">
        <v>1541</v>
      </c>
      <c r="D1647" t="s">
        <v>223</v>
      </c>
      <c r="E1647" t="s">
        <v>1542</v>
      </c>
      <c r="F1647" t="s">
        <v>18</v>
      </c>
      <c r="G1647" t="s">
        <v>22</v>
      </c>
      <c r="H1647">
        <v>0</v>
      </c>
      <c r="I1647">
        <v>1</v>
      </c>
      <c r="J1647">
        <v>14220</v>
      </c>
      <c r="K1647">
        <v>14220</v>
      </c>
      <c r="L1647">
        <v>0</v>
      </c>
      <c r="M1647">
        <v>14220</v>
      </c>
      <c r="N1647" t="s">
        <v>1543</v>
      </c>
      <c r="O1647" t="s">
        <v>21</v>
      </c>
    </row>
    <row r="1648" spans="1:15" x14ac:dyDescent="0.3">
      <c r="A1648" t="str">
        <f t="shared" si="25"/>
        <v>WDWW112575-R000-OAT</v>
      </c>
      <c r="B1648" t="s">
        <v>1487</v>
      </c>
      <c r="C1648" t="s">
        <v>1544</v>
      </c>
      <c r="D1648" t="s">
        <v>223</v>
      </c>
      <c r="E1648" t="s">
        <v>1545</v>
      </c>
      <c r="F1648" t="s">
        <v>18</v>
      </c>
      <c r="G1648" t="s">
        <v>22</v>
      </c>
      <c r="H1648">
        <v>0</v>
      </c>
      <c r="I1648">
        <v>3</v>
      </c>
      <c r="J1648">
        <v>24110</v>
      </c>
      <c r="K1648">
        <v>72330</v>
      </c>
      <c r="L1648">
        <v>0</v>
      </c>
      <c r="M1648">
        <v>72330</v>
      </c>
      <c r="N1648" t="s">
        <v>1546</v>
      </c>
      <c r="O1648" t="s">
        <v>21</v>
      </c>
    </row>
    <row r="1649" spans="1:15" x14ac:dyDescent="0.3">
      <c r="A1649" t="str">
        <f t="shared" si="25"/>
        <v>WDWW128267-R000-BGM</v>
      </c>
      <c r="B1649" t="s">
        <v>1487</v>
      </c>
      <c r="C1649" t="s">
        <v>1547</v>
      </c>
      <c r="D1649" t="s">
        <v>769</v>
      </c>
      <c r="E1649" t="s">
        <v>1548</v>
      </c>
      <c r="F1649" t="s">
        <v>18</v>
      </c>
      <c r="G1649" t="s">
        <v>22</v>
      </c>
      <c r="H1649">
        <v>0</v>
      </c>
      <c r="I1649">
        <v>1</v>
      </c>
      <c r="J1649">
        <v>21630</v>
      </c>
      <c r="K1649">
        <v>21630</v>
      </c>
      <c r="L1649">
        <v>0</v>
      </c>
      <c r="M1649">
        <v>21630</v>
      </c>
      <c r="N1649" t="s">
        <v>69</v>
      </c>
      <c r="O1649" t="s">
        <v>21</v>
      </c>
    </row>
    <row r="1650" spans="1:15" x14ac:dyDescent="0.3">
      <c r="A1650" t="str">
        <f t="shared" si="25"/>
        <v>WDWW128268-R000-BGM</v>
      </c>
      <c r="B1650" t="s">
        <v>1487</v>
      </c>
      <c r="C1650" t="s">
        <v>1549</v>
      </c>
      <c r="D1650" t="s">
        <v>769</v>
      </c>
      <c r="E1650" t="s">
        <v>1550</v>
      </c>
      <c r="F1650" t="s">
        <v>18</v>
      </c>
      <c r="G1650" t="s">
        <v>22</v>
      </c>
      <c r="H1650">
        <v>0</v>
      </c>
      <c r="I1650">
        <v>4</v>
      </c>
      <c r="J1650">
        <v>14220</v>
      </c>
      <c r="K1650">
        <v>56880</v>
      </c>
      <c r="L1650">
        <v>0</v>
      </c>
      <c r="M1650">
        <v>56880</v>
      </c>
      <c r="N1650" t="s">
        <v>69</v>
      </c>
      <c r="O1650" t="s">
        <v>21</v>
      </c>
    </row>
    <row r="1651" spans="1:15" x14ac:dyDescent="0.3">
      <c r="A1651" t="str">
        <f t="shared" si="25"/>
        <v>WDWW128269-R000-BGM</v>
      </c>
      <c r="B1651" t="s">
        <v>1487</v>
      </c>
      <c r="C1651" t="s">
        <v>1551</v>
      </c>
      <c r="D1651" t="s">
        <v>769</v>
      </c>
      <c r="E1651" t="s">
        <v>1552</v>
      </c>
      <c r="F1651" t="s">
        <v>18</v>
      </c>
      <c r="G1651" t="s">
        <v>22</v>
      </c>
      <c r="H1651">
        <v>0</v>
      </c>
      <c r="I1651">
        <v>2</v>
      </c>
      <c r="J1651">
        <v>24110</v>
      </c>
      <c r="K1651">
        <v>48220</v>
      </c>
      <c r="L1651">
        <v>0</v>
      </c>
      <c r="M1651">
        <v>48220</v>
      </c>
      <c r="N1651" t="s">
        <v>69</v>
      </c>
      <c r="O1651" t="s">
        <v>21</v>
      </c>
    </row>
    <row r="1652" spans="1:15" x14ac:dyDescent="0.3">
      <c r="A1652" t="str">
        <f t="shared" si="25"/>
        <v>WDWW128270-R000-BGM</v>
      </c>
      <c r="B1652" t="s">
        <v>1487</v>
      </c>
      <c r="C1652" t="s">
        <v>1553</v>
      </c>
      <c r="D1652" t="s">
        <v>769</v>
      </c>
      <c r="E1652" t="s">
        <v>1554</v>
      </c>
      <c r="F1652" t="s">
        <v>18</v>
      </c>
      <c r="G1652" t="s">
        <v>22</v>
      </c>
      <c r="H1652">
        <v>0</v>
      </c>
      <c r="I1652">
        <v>2</v>
      </c>
      <c r="J1652">
        <v>18340</v>
      </c>
      <c r="K1652">
        <v>36680</v>
      </c>
      <c r="L1652">
        <v>0</v>
      </c>
      <c r="M1652">
        <v>36680</v>
      </c>
      <c r="N1652" t="s">
        <v>69</v>
      </c>
      <c r="O1652" t="s">
        <v>21</v>
      </c>
    </row>
    <row r="1653" spans="1:15" x14ac:dyDescent="0.3">
      <c r="A1653" t="str">
        <f t="shared" si="25"/>
        <v>WDWW130643-R000-XX</v>
      </c>
      <c r="B1653" t="s">
        <v>1487</v>
      </c>
      <c r="C1653" t="s">
        <v>2135</v>
      </c>
      <c r="D1653" t="s">
        <v>16</v>
      </c>
      <c r="E1653" t="s">
        <v>2136</v>
      </c>
      <c r="F1653" t="s">
        <v>18</v>
      </c>
      <c r="G1653" t="s">
        <v>1558</v>
      </c>
      <c r="H1653">
        <v>0</v>
      </c>
      <c r="I1653">
        <v>40</v>
      </c>
      <c r="J1653">
        <v>64600</v>
      </c>
      <c r="K1653">
        <v>2584000</v>
      </c>
      <c r="L1653">
        <v>0</v>
      </c>
      <c r="M1653">
        <v>2584000</v>
      </c>
      <c r="N1653" t="s">
        <v>69</v>
      </c>
      <c r="O1653" t="s">
        <v>21</v>
      </c>
    </row>
    <row r="1654" spans="1:15" x14ac:dyDescent="0.3">
      <c r="A1654" t="str">
        <f t="shared" si="25"/>
        <v>WDWW140123-R000-A485A</v>
      </c>
      <c r="B1654" t="s">
        <v>1487</v>
      </c>
      <c r="C1654" t="s">
        <v>2137</v>
      </c>
      <c r="D1654" t="s">
        <v>1517</v>
      </c>
      <c r="E1654" t="s">
        <v>2138</v>
      </c>
      <c r="F1654" t="s">
        <v>18</v>
      </c>
      <c r="G1654" t="s">
        <v>29</v>
      </c>
      <c r="H1654">
        <v>0</v>
      </c>
      <c r="I1654">
        <v>1</v>
      </c>
      <c r="J1654">
        <v>85490</v>
      </c>
      <c r="K1654">
        <v>85490</v>
      </c>
      <c r="L1654">
        <v>0</v>
      </c>
      <c r="M1654">
        <v>85490</v>
      </c>
      <c r="N1654" t="s">
        <v>1513</v>
      </c>
      <c r="O1654" t="s">
        <v>21</v>
      </c>
    </row>
    <row r="1655" spans="1:15" x14ac:dyDescent="0.3">
      <c r="A1655" t="str">
        <f t="shared" si="25"/>
        <v>WDWW140132-R000-A485A</v>
      </c>
      <c r="B1655" t="s">
        <v>1487</v>
      </c>
      <c r="C1655" t="s">
        <v>2139</v>
      </c>
      <c r="D1655" t="s">
        <v>1517</v>
      </c>
      <c r="E1655" t="s">
        <v>2140</v>
      </c>
      <c r="F1655" t="s">
        <v>18</v>
      </c>
      <c r="G1655" t="s">
        <v>29</v>
      </c>
      <c r="H1655">
        <v>0</v>
      </c>
      <c r="I1655">
        <v>2</v>
      </c>
      <c r="J1655">
        <v>24720</v>
      </c>
      <c r="K1655">
        <v>49440</v>
      </c>
      <c r="L1655">
        <v>0</v>
      </c>
      <c r="M1655">
        <v>49440</v>
      </c>
      <c r="N1655" t="s">
        <v>2141</v>
      </c>
      <c r="O1655" t="s">
        <v>21</v>
      </c>
    </row>
    <row r="1656" spans="1:15" x14ac:dyDescent="0.3">
      <c r="A1656" t="str">
        <f t="shared" si="25"/>
        <v>P51-0L-9999A-AWL</v>
      </c>
      <c r="B1656" t="s">
        <v>1487</v>
      </c>
      <c r="C1656" t="s">
        <v>2142</v>
      </c>
      <c r="D1656" t="s">
        <v>2143</v>
      </c>
      <c r="E1656" t="s">
        <v>2144</v>
      </c>
      <c r="F1656" t="s">
        <v>18</v>
      </c>
      <c r="G1656" t="s">
        <v>1558</v>
      </c>
      <c r="H1656">
        <v>0</v>
      </c>
      <c r="I1656">
        <v>4</v>
      </c>
      <c r="J1656">
        <v>35530</v>
      </c>
      <c r="K1656">
        <v>142120</v>
      </c>
      <c r="L1656">
        <v>0</v>
      </c>
      <c r="M1656">
        <v>142120</v>
      </c>
      <c r="N1656" t="s">
        <v>686</v>
      </c>
      <c r="O1656" t="s">
        <v>680</v>
      </c>
    </row>
    <row r="1657" spans="1:15" x14ac:dyDescent="0.3">
      <c r="A1657" t="str">
        <f t="shared" si="25"/>
        <v>P52-0M-111-NCE</v>
      </c>
      <c r="B1657" t="s">
        <v>1487</v>
      </c>
      <c r="C1657" t="s">
        <v>1555</v>
      </c>
      <c r="D1657" t="s">
        <v>1556</v>
      </c>
      <c r="E1657" t="s">
        <v>1557</v>
      </c>
      <c r="F1657" t="s">
        <v>18</v>
      </c>
      <c r="G1657" t="s">
        <v>1558</v>
      </c>
      <c r="H1657">
        <v>0</v>
      </c>
      <c r="I1657">
        <v>60</v>
      </c>
      <c r="J1657">
        <v>97870</v>
      </c>
      <c r="K1657">
        <v>5872200</v>
      </c>
      <c r="L1657">
        <v>0</v>
      </c>
      <c r="M1657">
        <v>5872200</v>
      </c>
      <c r="N1657" t="s">
        <v>1559</v>
      </c>
      <c r="O1657" t="s">
        <v>680</v>
      </c>
    </row>
    <row r="1658" spans="1:15" x14ac:dyDescent="0.3">
      <c r="A1658" t="str">
        <f t="shared" si="25"/>
        <v>WDPGBL0014371-OGG</v>
      </c>
      <c r="B1658" t="s">
        <v>1487</v>
      </c>
      <c r="C1658" t="s">
        <v>2145</v>
      </c>
      <c r="D1658" t="s">
        <v>2146</v>
      </c>
      <c r="E1658" t="s">
        <v>2147</v>
      </c>
      <c r="F1658" t="s">
        <v>18</v>
      </c>
      <c r="G1658" t="s">
        <v>1558</v>
      </c>
      <c r="H1658">
        <v>0</v>
      </c>
      <c r="I1658">
        <v>2</v>
      </c>
      <c r="J1658">
        <v>78840</v>
      </c>
      <c r="K1658">
        <v>157680</v>
      </c>
      <c r="L1658">
        <v>0</v>
      </c>
      <c r="M1658">
        <v>157680</v>
      </c>
      <c r="N1658" t="s">
        <v>831</v>
      </c>
      <c r="O1658" t="s">
        <v>680</v>
      </c>
    </row>
    <row r="1659" spans="1:15" x14ac:dyDescent="0.3">
      <c r="A1659" t="str">
        <f t="shared" si="25"/>
        <v>WDWGMG0003791-NCE</v>
      </c>
      <c r="B1659" t="s">
        <v>1487</v>
      </c>
      <c r="C1659" t="s">
        <v>1560</v>
      </c>
      <c r="D1659" t="s">
        <v>1556</v>
      </c>
      <c r="E1659" t="s">
        <v>1561</v>
      </c>
      <c r="F1659" t="s">
        <v>18</v>
      </c>
      <c r="G1659" t="s">
        <v>1558</v>
      </c>
      <c r="H1659">
        <v>0</v>
      </c>
      <c r="I1659">
        <v>19</v>
      </c>
      <c r="J1659">
        <v>138010</v>
      </c>
      <c r="K1659">
        <v>2622190</v>
      </c>
      <c r="L1659">
        <v>0</v>
      </c>
      <c r="M1659">
        <v>2622190</v>
      </c>
      <c r="N1659" t="s">
        <v>686</v>
      </c>
      <c r="O1659" t="s">
        <v>680</v>
      </c>
    </row>
    <row r="1660" spans="1:15" x14ac:dyDescent="0.3">
      <c r="A1660" t="str">
        <f t="shared" si="25"/>
        <v>WDWP000883-R000-XX</v>
      </c>
      <c r="B1660" t="s">
        <v>1487</v>
      </c>
      <c r="C1660" t="s">
        <v>1562</v>
      </c>
      <c r="D1660" t="s">
        <v>16</v>
      </c>
      <c r="E1660" t="s">
        <v>1563</v>
      </c>
      <c r="F1660" t="s">
        <v>18</v>
      </c>
      <c r="G1660" t="s">
        <v>111</v>
      </c>
      <c r="H1660">
        <v>0</v>
      </c>
      <c r="I1660">
        <v>30</v>
      </c>
      <c r="J1660">
        <v>45000</v>
      </c>
      <c r="K1660">
        <v>1350000</v>
      </c>
      <c r="L1660">
        <v>0</v>
      </c>
      <c r="M1660">
        <v>1350000</v>
      </c>
      <c r="N1660" t="s">
        <v>686</v>
      </c>
      <c r="O1660" t="s">
        <v>680</v>
      </c>
    </row>
    <row r="1661" spans="1:15" x14ac:dyDescent="0.3">
      <c r="A1661" t="str">
        <f t="shared" si="25"/>
        <v>WDWP000883-R000-XX</v>
      </c>
      <c r="B1661" t="s">
        <v>1487</v>
      </c>
      <c r="C1661" t="s">
        <v>1562</v>
      </c>
      <c r="D1661" t="s">
        <v>16</v>
      </c>
      <c r="E1661" t="s">
        <v>1563</v>
      </c>
      <c r="F1661" t="s">
        <v>18</v>
      </c>
      <c r="G1661" t="s">
        <v>1558</v>
      </c>
      <c r="H1661">
        <v>0</v>
      </c>
      <c r="I1661">
        <v>160</v>
      </c>
      <c r="J1661">
        <v>45000</v>
      </c>
      <c r="K1661">
        <v>7200000</v>
      </c>
      <c r="L1661">
        <v>0</v>
      </c>
      <c r="M1661">
        <v>7200000</v>
      </c>
      <c r="N1661" t="s">
        <v>686</v>
      </c>
      <c r="O1661" t="s">
        <v>680</v>
      </c>
    </row>
    <row r="1662" spans="1:15" x14ac:dyDescent="0.3">
      <c r="A1662" t="str">
        <f t="shared" si="25"/>
        <v>WDWP000885-R000-WH</v>
      </c>
      <c r="B1662" t="s">
        <v>1487</v>
      </c>
      <c r="C1662" t="s">
        <v>1564</v>
      </c>
      <c r="D1662" t="s">
        <v>65</v>
      </c>
      <c r="E1662" t="s">
        <v>1565</v>
      </c>
      <c r="F1662" t="s">
        <v>18</v>
      </c>
      <c r="G1662" t="s">
        <v>111</v>
      </c>
      <c r="H1662">
        <v>0</v>
      </c>
      <c r="I1662">
        <v>38</v>
      </c>
      <c r="J1662">
        <v>31520</v>
      </c>
      <c r="K1662">
        <v>1197760</v>
      </c>
      <c r="L1662">
        <v>0</v>
      </c>
      <c r="M1662">
        <v>1197760</v>
      </c>
      <c r="N1662" t="s">
        <v>1085</v>
      </c>
      <c r="O1662" t="s">
        <v>680</v>
      </c>
    </row>
    <row r="1663" spans="1:15" x14ac:dyDescent="0.3">
      <c r="A1663" t="str">
        <f t="shared" si="25"/>
        <v>WDWP000954-R000-XX</v>
      </c>
      <c r="B1663" t="s">
        <v>1487</v>
      </c>
      <c r="C1663" t="s">
        <v>2148</v>
      </c>
      <c r="D1663" t="s">
        <v>16</v>
      </c>
      <c r="E1663" t="s">
        <v>2149</v>
      </c>
      <c r="F1663" t="s">
        <v>18</v>
      </c>
      <c r="G1663" t="s">
        <v>120</v>
      </c>
      <c r="H1663">
        <v>0</v>
      </c>
      <c r="I1663">
        <v>60</v>
      </c>
      <c r="J1663">
        <v>24930</v>
      </c>
      <c r="K1663">
        <v>1495800</v>
      </c>
      <c r="L1663">
        <v>0</v>
      </c>
      <c r="M1663">
        <v>1495800</v>
      </c>
      <c r="N1663" t="s">
        <v>2150</v>
      </c>
      <c r="O1663" t="s">
        <v>680</v>
      </c>
    </row>
    <row r="1664" spans="1:15" x14ac:dyDescent="0.3">
      <c r="A1664" t="str">
        <f t="shared" si="25"/>
        <v>WDWP000955-R000-XX</v>
      </c>
      <c r="B1664" t="s">
        <v>1487</v>
      </c>
      <c r="C1664" t="s">
        <v>2151</v>
      </c>
      <c r="D1664" t="s">
        <v>16</v>
      </c>
      <c r="E1664" t="s">
        <v>2152</v>
      </c>
      <c r="F1664" t="s">
        <v>18</v>
      </c>
      <c r="G1664" t="s">
        <v>120</v>
      </c>
      <c r="H1664">
        <v>0</v>
      </c>
      <c r="I1664">
        <v>60</v>
      </c>
      <c r="J1664">
        <v>58000</v>
      </c>
      <c r="K1664">
        <v>3480000</v>
      </c>
      <c r="L1664">
        <v>0</v>
      </c>
      <c r="M1664">
        <v>3480000</v>
      </c>
      <c r="N1664" t="s">
        <v>2153</v>
      </c>
      <c r="O1664" t="s">
        <v>680</v>
      </c>
    </row>
    <row r="1665" spans="1:15" x14ac:dyDescent="0.3">
      <c r="A1665" t="str">
        <f t="shared" si="25"/>
        <v>WDWP000956-R000-XX</v>
      </c>
      <c r="B1665" t="s">
        <v>1487</v>
      </c>
      <c r="C1665" t="s">
        <v>2154</v>
      </c>
      <c r="D1665" t="s">
        <v>16</v>
      </c>
      <c r="E1665" t="s">
        <v>2155</v>
      </c>
      <c r="F1665" t="s">
        <v>18</v>
      </c>
      <c r="G1665" t="s">
        <v>120</v>
      </c>
      <c r="H1665">
        <v>0</v>
      </c>
      <c r="I1665">
        <v>60</v>
      </c>
      <c r="J1665">
        <v>22010</v>
      </c>
      <c r="K1665">
        <v>1320600</v>
      </c>
      <c r="L1665">
        <v>0</v>
      </c>
      <c r="M1665">
        <v>1320600</v>
      </c>
      <c r="N1665" t="s">
        <v>2156</v>
      </c>
      <c r="O1665" t="s">
        <v>680</v>
      </c>
    </row>
    <row r="1666" spans="1:15" x14ac:dyDescent="0.3">
      <c r="A1666" t="str">
        <f t="shared" si="25"/>
        <v>WDWP000957-R000-XX</v>
      </c>
      <c r="B1666" t="s">
        <v>1487</v>
      </c>
      <c r="C1666" t="s">
        <v>2157</v>
      </c>
      <c r="D1666" t="s">
        <v>16</v>
      </c>
      <c r="E1666" t="s">
        <v>2158</v>
      </c>
      <c r="F1666" t="s">
        <v>18</v>
      </c>
      <c r="G1666" t="s">
        <v>120</v>
      </c>
      <c r="H1666">
        <v>0</v>
      </c>
      <c r="I1666">
        <v>60</v>
      </c>
      <c r="J1666">
        <v>27420</v>
      </c>
      <c r="K1666">
        <v>1645200</v>
      </c>
      <c r="L1666">
        <v>0</v>
      </c>
      <c r="M1666">
        <v>1645200</v>
      </c>
      <c r="N1666" t="s">
        <v>2159</v>
      </c>
      <c r="O1666" t="s">
        <v>680</v>
      </c>
    </row>
    <row r="1667" spans="1:15" x14ac:dyDescent="0.3">
      <c r="A1667" t="str">
        <f t="shared" ref="A1667:A1697" si="26">C1667&amp;"-"&amp;D1667</f>
        <v>ETCS000220-R000-XX</v>
      </c>
      <c r="B1667" t="s">
        <v>1487</v>
      </c>
      <c r="C1667" t="s">
        <v>2160</v>
      </c>
      <c r="D1667" t="s">
        <v>16</v>
      </c>
      <c r="E1667" t="s">
        <v>2161</v>
      </c>
      <c r="F1667" t="s">
        <v>18</v>
      </c>
      <c r="G1667" t="s">
        <v>29</v>
      </c>
      <c r="H1667">
        <v>0</v>
      </c>
      <c r="I1667">
        <v>4</v>
      </c>
      <c r="J1667">
        <v>12</v>
      </c>
      <c r="K1667">
        <v>48</v>
      </c>
      <c r="L1667">
        <v>0</v>
      </c>
      <c r="M1667">
        <v>48</v>
      </c>
      <c r="N1667" t="s">
        <v>2162</v>
      </c>
      <c r="O1667" t="s">
        <v>1098</v>
      </c>
    </row>
    <row r="1668" spans="1:15" x14ac:dyDescent="0.3">
      <c r="A1668" t="str">
        <f t="shared" si="26"/>
        <v>ETFS000112-R000-BK</v>
      </c>
      <c r="B1668" t="s">
        <v>1487</v>
      </c>
      <c r="C1668" t="s">
        <v>2163</v>
      </c>
      <c r="D1668" t="s">
        <v>31</v>
      </c>
      <c r="E1668" t="s">
        <v>2164</v>
      </c>
      <c r="F1668" t="s">
        <v>18</v>
      </c>
      <c r="G1668" t="s">
        <v>29</v>
      </c>
      <c r="H1668">
        <v>0</v>
      </c>
      <c r="I1668">
        <v>10</v>
      </c>
      <c r="J1668">
        <v>14</v>
      </c>
      <c r="K1668">
        <v>140</v>
      </c>
      <c r="L1668">
        <v>0</v>
      </c>
      <c r="M1668">
        <v>140</v>
      </c>
      <c r="O1668" t="s">
        <v>1098</v>
      </c>
    </row>
    <row r="1669" spans="1:15" x14ac:dyDescent="0.3">
      <c r="A1669" t="str">
        <f t="shared" si="26"/>
        <v>ETFS000138-R000-BK</v>
      </c>
      <c r="B1669" t="s">
        <v>1487</v>
      </c>
      <c r="C1669" t="s">
        <v>2165</v>
      </c>
      <c r="D1669" t="s">
        <v>31</v>
      </c>
      <c r="E1669" t="s">
        <v>2166</v>
      </c>
      <c r="F1669" t="s">
        <v>18</v>
      </c>
      <c r="G1669" t="s">
        <v>22</v>
      </c>
      <c r="H1669">
        <v>0</v>
      </c>
      <c r="I1669">
        <v>32</v>
      </c>
      <c r="J1669">
        <v>45</v>
      </c>
      <c r="K1669">
        <v>1440</v>
      </c>
      <c r="L1669">
        <v>0</v>
      </c>
      <c r="M1669">
        <v>1440</v>
      </c>
      <c r="N1669" t="s">
        <v>2167</v>
      </c>
      <c r="O1669" t="s">
        <v>1098</v>
      </c>
    </row>
    <row r="1670" spans="1:15" x14ac:dyDescent="0.3">
      <c r="A1670" t="str">
        <f t="shared" si="26"/>
        <v>ETFS000196-R000-BK</v>
      </c>
      <c r="B1670" t="s">
        <v>1487</v>
      </c>
      <c r="C1670" t="s">
        <v>2168</v>
      </c>
      <c r="D1670" t="s">
        <v>31</v>
      </c>
      <c r="E1670" t="s">
        <v>2169</v>
      </c>
      <c r="F1670" t="s">
        <v>18</v>
      </c>
      <c r="G1670" t="s">
        <v>1558</v>
      </c>
      <c r="H1670">
        <v>0</v>
      </c>
      <c r="I1670">
        <v>320</v>
      </c>
      <c r="J1670">
        <v>19</v>
      </c>
      <c r="K1670">
        <v>6080</v>
      </c>
      <c r="L1670">
        <v>0</v>
      </c>
      <c r="M1670">
        <v>6080</v>
      </c>
      <c r="N1670" t="s">
        <v>2170</v>
      </c>
      <c r="O1670" t="s">
        <v>1098</v>
      </c>
    </row>
    <row r="1671" spans="1:15" x14ac:dyDescent="0.3">
      <c r="A1671" t="str">
        <f t="shared" si="26"/>
        <v>ETFS000206-R000-NI</v>
      </c>
      <c r="B1671" t="s">
        <v>1487</v>
      </c>
      <c r="C1671" t="s">
        <v>1120</v>
      </c>
      <c r="D1671" t="s">
        <v>67</v>
      </c>
      <c r="E1671" t="s">
        <v>1123</v>
      </c>
      <c r="F1671" t="s">
        <v>18</v>
      </c>
      <c r="G1671" t="s">
        <v>1568</v>
      </c>
      <c r="H1671">
        <v>0</v>
      </c>
      <c r="I1671">
        <v>20000</v>
      </c>
      <c r="J1671">
        <v>13</v>
      </c>
      <c r="K1671">
        <v>260000</v>
      </c>
      <c r="L1671">
        <v>0</v>
      </c>
      <c r="M1671">
        <v>260000</v>
      </c>
      <c r="N1671" t="s">
        <v>1124</v>
      </c>
      <c r="O1671" t="s">
        <v>1098</v>
      </c>
    </row>
    <row r="1672" spans="1:15" x14ac:dyDescent="0.3">
      <c r="A1672" t="str">
        <f t="shared" si="26"/>
        <v>ETFS000232-R000-BK</v>
      </c>
      <c r="B1672" t="s">
        <v>1487</v>
      </c>
      <c r="C1672" t="s">
        <v>2171</v>
      </c>
      <c r="D1672" t="s">
        <v>31</v>
      </c>
      <c r="E1672" t="s">
        <v>2172</v>
      </c>
      <c r="F1672" t="s">
        <v>18</v>
      </c>
      <c r="G1672" t="s">
        <v>29</v>
      </c>
      <c r="H1672">
        <v>0</v>
      </c>
      <c r="I1672">
        <v>8</v>
      </c>
      <c r="J1672">
        <v>28</v>
      </c>
      <c r="K1672">
        <v>224</v>
      </c>
      <c r="L1672">
        <v>0</v>
      </c>
      <c r="M1672">
        <v>224</v>
      </c>
      <c r="N1672" t="s">
        <v>1569</v>
      </c>
      <c r="O1672" t="s">
        <v>1098</v>
      </c>
    </row>
    <row r="1673" spans="1:15" x14ac:dyDescent="0.3">
      <c r="A1673" t="str">
        <f t="shared" si="26"/>
        <v>ETFS000233-R000-BK</v>
      </c>
      <c r="B1673" t="s">
        <v>1487</v>
      </c>
      <c r="C1673" t="s">
        <v>2173</v>
      </c>
      <c r="D1673" t="s">
        <v>31</v>
      </c>
      <c r="E1673" t="s">
        <v>2174</v>
      </c>
      <c r="F1673" t="s">
        <v>18</v>
      </c>
      <c r="G1673" t="s">
        <v>1558</v>
      </c>
      <c r="H1673">
        <v>0</v>
      </c>
      <c r="I1673">
        <v>200</v>
      </c>
      <c r="J1673">
        <v>35</v>
      </c>
      <c r="K1673">
        <v>7000</v>
      </c>
      <c r="L1673">
        <v>0</v>
      </c>
      <c r="M1673">
        <v>7000</v>
      </c>
      <c r="N1673" t="s">
        <v>2175</v>
      </c>
      <c r="O1673" t="s">
        <v>1098</v>
      </c>
    </row>
    <row r="1674" spans="1:15" x14ac:dyDescent="0.3">
      <c r="A1674" t="str">
        <f t="shared" si="26"/>
        <v>ETFS000316-R000-BK</v>
      </c>
      <c r="B1674" t="s">
        <v>1487</v>
      </c>
      <c r="C1674" t="s">
        <v>1570</v>
      </c>
      <c r="D1674" t="s">
        <v>31</v>
      </c>
      <c r="E1674" t="s">
        <v>1571</v>
      </c>
      <c r="F1674" t="s">
        <v>18</v>
      </c>
      <c r="G1674" t="s">
        <v>22</v>
      </c>
      <c r="H1674">
        <v>0</v>
      </c>
      <c r="I1674">
        <v>1</v>
      </c>
      <c r="J1674">
        <v>9</v>
      </c>
      <c r="K1674">
        <v>9</v>
      </c>
      <c r="L1674">
        <v>0</v>
      </c>
      <c r="M1674">
        <v>9</v>
      </c>
      <c r="N1674" t="s">
        <v>1572</v>
      </c>
      <c r="O1674" t="s">
        <v>1098</v>
      </c>
    </row>
    <row r="1675" spans="1:15" x14ac:dyDescent="0.3">
      <c r="A1675" t="str">
        <f t="shared" si="26"/>
        <v>ETFS000316-R000-NI</v>
      </c>
      <c r="B1675" t="s">
        <v>1487</v>
      </c>
      <c r="C1675" t="s">
        <v>1570</v>
      </c>
      <c r="D1675" t="s">
        <v>67</v>
      </c>
      <c r="E1675" t="s">
        <v>2176</v>
      </c>
      <c r="F1675" t="s">
        <v>18</v>
      </c>
      <c r="G1675" t="s">
        <v>29</v>
      </c>
      <c r="H1675">
        <v>0</v>
      </c>
      <c r="I1675">
        <v>2</v>
      </c>
      <c r="J1675">
        <v>9</v>
      </c>
      <c r="K1675">
        <v>18</v>
      </c>
      <c r="L1675">
        <v>0</v>
      </c>
      <c r="M1675">
        <v>18</v>
      </c>
      <c r="N1675" t="s">
        <v>2177</v>
      </c>
      <c r="O1675" t="s">
        <v>1098</v>
      </c>
    </row>
    <row r="1676" spans="1:15" x14ac:dyDescent="0.3">
      <c r="A1676" t="str">
        <f t="shared" si="26"/>
        <v>ETFS000540-R000-BK</v>
      </c>
      <c r="B1676" t="s">
        <v>1487</v>
      </c>
      <c r="C1676" t="s">
        <v>1155</v>
      </c>
      <c r="D1676" t="s">
        <v>31</v>
      </c>
      <c r="E1676" t="s">
        <v>2178</v>
      </c>
      <c r="F1676" t="s">
        <v>18</v>
      </c>
      <c r="G1676" t="s">
        <v>22</v>
      </c>
      <c r="H1676">
        <v>0</v>
      </c>
      <c r="I1676">
        <v>2</v>
      </c>
      <c r="J1676">
        <v>30</v>
      </c>
      <c r="K1676">
        <v>60</v>
      </c>
      <c r="L1676">
        <v>0</v>
      </c>
      <c r="M1676">
        <v>60</v>
      </c>
      <c r="N1676" t="s">
        <v>1157</v>
      </c>
      <c r="O1676" t="s">
        <v>1098</v>
      </c>
    </row>
    <row r="1677" spans="1:15" x14ac:dyDescent="0.3">
      <c r="A1677" t="str">
        <f t="shared" si="26"/>
        <v>ETFS000580-R000-BK</v>
      </c>
      <c r="B1677" t="s">
        <v>1487</v>
      </c>
      <c r="C1677" t="s">
        <v>2179</v>
      </c>
      <c r="D1677" t="s">
        <v>31</v>
      </c>
      <c r="E1677" t="s">
        <v>2180</v>
      </c>
      <c r="F1677" t="s">
        <v>18</v>
      </c>
      <c r="G1677" t="s">
        <v>29</v>
      </c>
      <c r="H1677">
        <v>0</v>
      </c>
      <c r="I1677">
        <v>8</v>
      </c>
      <c r="J1677">
        <v>10</v>
      </c>
      <c r="K1677">
        <v>80</v>
      </c>
      <c r="L1677">
        <v>0</v>
      </c>
      <c r="M1677">
        <v>80</v>
      </c>
      <c r="N1677" t="s">
        <v>2181</v>
      </c>
      <c r="O1677" t="s">
        <v>1098</v>
      </c>
    </row>
    <row r="1678" spans="1:15" x14ac:dyDescent="0.3">
      <c r="A1678" t="str">
        <f t="shared" si="26"/>
        <v>ETFS001271-R000-BK</v>
      </c>
      <c r="B1678" t="s">
        <v>1487</v>
      </c>
      <c r="C1678" t="s">
        <v>2182</v>
      </c>
      <c r="D1678" t="s">
        <v>31</v>
      </c>
      <c r="E1678" t="s">
        <v>2183</v>
      </c>
      <c r="F1678" t="s">
        <v>18</v>
      </c>
      <c r="G1678" t="s">
        <v>29</v>
      </c>
      <c r="H1678">
        <v>0</v>
      </c>
      <c r="I1678">
        <v>40</v>
      </c>
      <c r="J1678">
        <v>52</v>
      </c>
      <c r="K1678">
        <v>2080</v>
      </c>
      <c r="L1678">
        <v>0</v>
      </c>
      <c r="M1678">
        <v>2080</v>
      </c>
      <c r="O1678" t="s">
        <v>1098</v>
      </c>
    </row>
    <row r="1679" spans="1:15" x14ac:dyDescent="0.3">
      <c r="A1679" t="str">
        <f t="shared" si="26"/>
        <v>ETFS001274-R000-NT</v>
      </c>
      <c r="B1679" t="s">
        <v>1487</v>
      </c>
      <c r="C1679" t="s">
        <v>2184</v>
      </c>
      <c r="D1679" t="s">
        <v>52</v>
      </c>
      <c r="E1679" t="s">
        <v>1173</v>
      </c>
      <c r="F1679" t="s">
        <v>18</v>
      </c>
      <c r="G1679" t="s">
        <v>29</v>
      </c>
      <c r="H1679">
        <v>0</v>
      </c>
      <c r="I1679">
        <v>40</v>
      </c>
      <c r="J1679">
        <v>30</v>
      </c>
      <c r="K1679">
        <v>1200</v>
      </c>
      <c r="L1679">
        <v>0</v>
      </c>
      <c r="M1679">
        <v>1200</v>
      </c>
      <c r="N1679" t="s">
        <v>2185</v>
      </c>
      <c r="O1679" t="s">
        <v>1098</v>
      </c>
    </row>
    <row r="1680" spans="1:15" x14ac:dyDescent="0.3">
      <c r="A1680" t="str">
        <f t="shared" si="26"/>
        <v>ETFS002224-R000-BK</v>
      </c>
      <c r="B1680" t="s">
        <v>1487</v>
      </c>
      <c r="C1680" t="s">
        <v>1573</v>
      </c>
      <c r="D1680" t="s">
        <v>31</v>
      </c>
      <c r="E1680" t="s">
        <v>1574</v>
      </c>
      <c r="F1680" t="s">
        <v>18</v>
      </c>
      <c r="G1680" t="s">
        <v>29</v>
      </c>
      <c r="H1680">
        <v>0</v>
      </c>
      <c r="I1680">
        <v>4</v>
      </c>
      <c r="J1680">
        <v>12</v>
      </c>
      <c r="K1680">
        <v>48</v>
      </c>
      <c r="L1680">
        <v>0</v>
      </c>
      <c r="M1680">
        <v>48</v>
      </c>
      <c r="N1680" t="s">
        <v>1575</v>
      </c>
      <c r="O1680" t="s">
        <v>1098</v>
      </c>
    </row>
    <row r="1681" spans="1:15" x14ac:dyDescent="0.3">
      <c r="A1681" t="str">
        <f t="shared" si="26"/>
        <v>ETHW000318-R000-XX</v>
      </c>
      <c r="B1681" t="s">
        <v>1487</v>
      </c>
      <c r="C1681" t="s">
        <v>1576</v>
      </c>
      <c r="D1681" t="s">
        <v>16</v>
      </c>
      <c r="E1681" t="s">
        <v>1225</v>
      </c>
      <c r="F1681" t="s">
        <v>18</v>
      </c>
      <c r="G1681" t="s">
        <v>111</v>
      </c>
      <c r="H1681">
        <v>0</v>
      </c>
      <c r="I1681">
        <v>600</v>
      </c>
      <c r="J1681">
        <v>810</v>
      </c>
      <c r="K1681">
        <v>486000</v>
      </c>
      <c r="L1681">
        <v>0</v>
      </c>
      <c r="M1681">
        <v>486000</v>
      </c>
      <c r="N1681" t="s">
        <v>1226</v>
      </c>
      <c r="O1681" t="s">
        <v>1098</v>
      </c>
    </row>
    <row r="1682" spans="1:15" x14ac:dyDescent="0.3">
      <c r="A1682" t="str">
        <f t="shared" si="26"/>
        <v>ETHW000318-R000-XX</v>
      </c>
      <c r="B1682" t="s">
        <v>1487</v>
      </c>
      <c r="C1682" t="s">
        <v>1576</v>
      </c>
      <c r="D1682" t="s">
        <v>16</v>
      </c>
      <c r="E1682" t="s">
        <v>1225</v>
      </c>
      <c r="F1682" t="s">
        <v>18</v>
      </c>
      <c r="G1682" t="s">
        <v>35</v>
      </c>
      <c r="H1682">
        <v>0</v>
      </c>
      <c r="I1682">
        <v>600</v>
      </c>
      <c r="J1682">
        <v>810</v>
      </c>
      <c r="K1682">
        <v>486000</v>
      </c>
      <c r="L1682">
        <v>0</v>
      </c>
      <c r="M1682">
        <v>486000</v>
      </c>
      <c r="N1682" t="s">
        <v>1226</v>
      </c>
      <c r="O1682" t="s">
        <v>1098</v>
      </c>
    </row>
    <row r="1683" spans="1:15" x14ac:dyDescent="0.3">
      <c r="A1683" t="str">
        <f t="shared" si="26"/>
        <v>ETHW000318-R000-XX</v>
      </c>
      <c r="B1683" t="s">
        <v>1487</v>
      </c>
      <c r="C1683" t="s">
        <v>1576</v>
      </c>
      <c r="D1683" t="s">
        <v>16</v>
      </c>
      <c r="E1683" t="s">
        <v>1225</v>
      </c>
      <c r="F1683" t="s">
        <v>18</v>
      </c>
      <c r="G1683" t="s">
        <v>49</v>
      </c>
      <c r="H1683">
        <v>0</v>
      </c>
      <c r="I1683">
        <v>100</v>
      </c>
      <c r="J1683">
        <v>810</v>
      </c>
      <c r="K1683">
        <v>81000</v>
      </c>
      <c r="L1683">
        <v>0</v>
      </c>
      <c r="M1683">
        <v>81000</v>
      </c>
      <c r="N1683" t="s">
        <v>1226</v>
      </c>
      <c r="O1683" t="s">
        <v>1098</v>
      </c>
    </row>
    <row r="1684" spans="1:15" x14ac:dyDescent="0.3">
      <c r="A1684" t="str">
        <f t="shared" si="26"/>
        <v>ETHW000564-R000-RD</v>
      </c>
      <c r="B1684" t="s">
        <v>1487</v>
      </c>
      <c r="C1684" t="s">
        <v>1186</v>
      </c>
      <c r="D1684" t="s">
        <v>1187</v>
      </c>
      <c r="E1684" t="s">
        <v>1188</v>
      </c>
      <c r="F1684" t="s">
        <v>18</v>
      </c>
      <c r="G1684" t="s">
        <v>1568</v>
      </c>
      <c r="H1684">
        <v>0</v>
      </c>
      <c r="I1684">
        <v>500</v>
      </c>
      <c r="J1684">
        <v>300</v>
      </c>
      <c r="K1684">
        <v>150000</v>
      </c>
      <c r="L1684">
        <v>0</v>
      </c>
      <c r="M1684">
        <v>150000</v>
      </c>
      <c r="N1684" t="s">
        <v>1189</v>
      </c>
      <c r="O1684" t="s">
        <v>1098</v>
      </c>
    </row>
    <row r="1685" spans="1:15" x14ac:dyDescent="0.3">
      <c r="A1685" t="str">
        <f t="shared" si="26"/>
        <v>ETHW000642-R000-FC</v>
      </c>
      <c r="B1685" t="s">
        <v>1487</v>
      </c>
      <c r="C1685" t="s">
        <v>1192</v>
      </c>
      <c r="D1685" t="s">
        <v>1193</v>
      </c>
      <c r="E1685" t="s">
        <v>1194</v>
      </c>
      <c r="F1685" t="s">
        <v>18</v>
      </c>
      <c r="G1685" t="s">
        <v>1558</v>
      </c>
      <c r="H1685">
        <v>0</v>
      </c>
      <c r="I1685">
        <v>40</v>
      </c>
      <c r="J1685">
        <v>430</v>
      </c>
      <c r="K1685">
        <v>17200</v>
      </c>
      <c r="L1685">
        <v>0</v>
      </c>
      <c r="M1685">
        <v>17200</v>
      </c>
      <c r="N1685" t="s">
        <v>1195</v>
      </c>
      <c r="O1685" t="s">
        <v>1098</v>
      </c>
    </row>
    <row r="1686" spans="1:15" x14ac:dyDescent="0.3">
      <c r="A1686" t="str">
        <f t="shared" si="26"/>
        <v>OPPW002017-R000-MM</v>
      </c>
      <c r="B1686" t="s">
        <v>1487</v>
      </c>
      <c r="C1686" t="s">
        <v>2186</v>
      </c>
      <c r="D1686" t="s">
        <v>57</v>
      </c>
      <c r="E1686" t="s">
        <v>2187</v>
      </c>
      <c r="F1686" t="s">
        <v>18</v>
      </c>
      <c r="G1686" t="s">
        <v>22</v>
      </c>
      <c r="H1686">
        <v>0</v>
      </c>
      <c r="I1686">
        <v>1</v>
      </c>
      <c r="J1686">
        <v>63</v>
      </c>
      <c r="K1686">
        <v>63</v>
      </c>
      <c r="L1686">
        <v>0</v>
      </c>
      <c r="M1686">
        <v>63</v>
      </c>
      <c r="O1686" t="s">
        <v>1098</v>
      </c>
    </row>
    <row r="1687" spans="1:15" x14ac:dyDescent="0.3">
      <c r="A1687" t="str">
        <f t="shared" si="26"/>
        <v>W13-2M-0004-XX</v>
      </c>
      <c r="B1687" t="s">
        <v>1487</v>
      </c>
      <c r="C1687" t="s">
        <v>1427</v>
      </c>
      <c r="D1687" t="s">
        <v>16</v>
      </c>
      <c r="E1687" t="s">
        <v>1428</v>
      </c>
      <c r="F1687" t="s">
        <v>18</v>
      </c>
      <c r="G1687" t="s">
        <v>1558</v>
      </c>
      <c r="H1687">
        <v>0</v>
      </c>
      <c r="I1687">
        <v>50</v>
      </c>
      <c r="J1687">
        <v>3920</v>
      </c>
      <c r="K1687">
        <v>196000</v>
      </c>
      <c r="L1687">
        <v>0</v>
      </c>
      <c r="M1687">
        <v>196000</v>
      </c>
      <c r="N1687" t="s">
        <v>1417</v>
      </c>
      <c r="O1687" t="s">
        <v>1330</v>
      </c>
    </row>
    <row r="1688" spans="1:15" x14ac:dyDescent="0.3">
      <c r="A1688" t="str">
        <f t="shared" si="26"/>
        <v>WDWP000239-R000-XX</v>
      </c>
      <c r="B1688" t="s">
        <v>1487</v>
      </c>
      <c r="C1688" t="s">
        <v>1579</v>
      </c>
      <c r="D1688" t="s">
        <v>16</v>
      </c>
      <c r="E1688" t="s">
        <v>1580</v>
      </c>
      <c r="F1688" t="s">
        <v>18</v>
      </c>
      <c r="G1688" t="s">
        <v>239</v>
      </c>
      <c r="H1688">
        <v>0</v>
      </c>
      <c r="I1688">
        <v>165</v>
      </c>
      <c r="J1688">
        <v>29850</v>
      </c>
      <c r="K1688">
        <v>4925250</v>
      </c>
      <c r="L1688">
        <v>0</v>
      </c>
      <c r="M1688">
        <v>4925250</v>
      </c>
      <c r="N1688" t="s">
        <v>1581</v>
      </c>
      <c r="O1688" t="s">
        <v>1330</v>
      </c>
    </row>
    <row r="1689" spans="1:15" x14ac:dyDescent="0.3">
      <c r="A1689" t="str">
        <f t="shared" si="26"/>
        <v>P41-6BZBC00-XX</v>
      </c>
      <c r="B1689" t="s">
        <v>1487</v>
      </c>
      <c r="C1689" t="s">
        <v>2188</v>
      </c>
      <c r="D1689" t="s">
        <v>16</v>
      </c>
      <c r="E1689" t="s">
        <v>2189</v>
      </c>
      <c r="F1689" t="s">
        <v>18</v>
      </c>
      <c r="G1689" t="s">
        <v>1558</v>
      </c>
      <c r="H1689">
        <v>0</v>
      </c>
      <c r="I1689">
        <v>20</v>
      </c>
      <c r="J1689">
        <v>190</v>
      </c>
      <c r="K1689">
        <v>3800</v>
      </c>
      <c r="L1689">
        <v>0</v>
      </c>
      <c r="M1689">
        <v>3800</v>
      </c>
      <c r="N1689" t="s">
        <v>2190</v>
      </c>
      <c r="O1689" t="s">
        <v>1471</v>
      </c>
    </row>
    <row r="1690" spans="1:15" x14ac:dyDescent="0.3">
      <c r="A1690" t="str">
        <f t="shared" si="26"/>
        <v>PPBX001998-R000-XX</v>
      </c>
      <c r="B1690" t="s">
        <v>1487</v>
      </c>
      <c r="C1690" t="s">
        <v>2191</v>
      </c>
      <c r="D1690" t="s">
        <v>16</v>
      </c>
      <c r="E1690" t="s">
        <v>2192</v>
      </c>
      <c r="F1690" t="s">
        <v>18</v>
      </c>
      <c r="G1690" t="s">
        <v>1558</v>
      </c>
      <c r="H1690">
        <v>0</v>
      </c>
      <c r="I1690">
        <v>20</v>
      </c>
      <c r="J1690">
        <v>310</v>
      </c>
      <c r="K1690">
        <v>6200</v>
      </c>
      <c r="L1690">
        <v>0</v>
      </c>
      <c r="M1690">
        <v>6200</v>
      </c>
      <c r="N1690" t="s">
        <v>2193</v>
      </c>
      <c r="O1690" t="s">
        <v>1471</v>
      </c>
    </row>
    <row r="1691" spans="1:15" x14ac:dyDescent="0.3">
      <c r="A1691" t="str">
        <f t="shared" si="26"/>
        <v>PPBX006399-R000-XX</v>
      </c>
      <c r="B1691" t="s">
        <v>1487</v>
      </c>
      <c r="C1691" t="s">
        <v>2194</v>
      </c>
      <c r="D1691" t="s">
        <v>16</v>
      </c>
      <c r="E1691" t="s">
        <v>2195</v>
      </c>
      <c r="F1691" t="s">
        <v>18</v>
      </c>
      <c r="G1691" t="s">
        <v>239</v>
      </c>
      <c r="H1691">
        <v>0</v>
      </c>
      <c r="I1691">
        <v>6</v>
      </c>
      <c r="J1691">
        <v>5370</v>
      </c>
      <c r="K1691">
        <v>32220</v>
      </c>
      <c r="L1691">
        <v>0</v>
      </c>
      <c r="M1691">
        <v>32220</v>
      </c>
      <c r="N1691" t="s">
        <v>2196</v>
      </c>
      <c r="O1691" t="s">
        <v>1471</v>
      </c>
    </row>
    <row r="1692" spans="1:15" x14ac:dyDescent="0.3">
      <c r="A1692" t="str">
        <f t="shared" si="26"/>
        <v>PPBX006400-R000-XX</v>
      </c>
      <c r="B1692" t="s">
        <v>1487</v>
      </c>
      <c r="C1692" t="s">
        <v>2197</v>
      </c>
      <c r="D1692" t="s">
        <v>16</v>
      </c>
      <c r="E1692" t="s">
        <v>2198</v>
      </c>
      <c r="F1692" t="s">
        <v>18</v>
      </c>
      <c r="G1692" t="s">
        <v>239</v>
      </c>
      <c r="H1692">
        <v>0</v>
      </c>
      <c r="I1692">
        <v>2</v>
      </c>
      <c r="J1692">
        <v>5370</v>
      </c>
      <c r="K1692">
        <v>10740</v>
      </c>
      <c r="L1692">
        <v>0</v>
      </c>
      <c r="M1692">
        <v>10740</v>
      </c>
      <c r="N1692" t="s">
        <v>2196</v>
      </c>
      <c r="O1692" t="s">
        <v>1471</v>
      </c>
    </row>
    <row r="1693" spans="1:15" x14ac:dyDescent="0.3">
      <c r="A1693" t="str">
        <f t="shared" si="26"/>
        <v>PPBX009354-R000-XX</v>
      </c>
      <c r="B1693" t="s">
        <v>1487</v>
      </c>
      <c r="C1693" t="s">
        <v>1585</v>
      </c>
      <c r="D1693" t="s">
        <v>16</v>
      </c>
      <c r="E1693" t="s">
        <v>1586</v>
      </c>
      <c r="F1693" t="s">
        <v>18</v>
      </c>
      <c r="G1693" t="s">
        <v>1558</v>
      </c>
      <c r="H1693">
        <v>0</v>
      </c>
      <c r="I1693">
        <v>10</v>
      </c>
      <c r="J1693">
        <v>4020</v>
      </c>
      <c r="K1693">
        <v>40200</v>
      </c>
      <c r="L1693">
        <v>0</v>
      </c>
      <c r="M1693">
        <v>40200</v>
      </c>
      <c r="N1693" t="s">
        <v>1587</v>
      </c>
      <c r="O1693" t="s">
        <v>1471</v>
      </c>
    </row>
    <row r="1694" spans="1:15" x14ac:dyDescent="0.3">
      <c r="A1694" t="str">
        <f t="shared" si="26"/>
        <v>PPBX009485-R000-XX</v>
      </c>
      <c r="B1694" t="s">
        <v>1487</v>
      </c>
      <c r="C1694" t="s">
        <v>2199</v>
      </c>
      <c r="D1694" t="s">
        <v>16</v>
      </c>
      <c r="E1694" t="s">
        <v>2195</v>
      </c>
      <c r="F1694" t="s">
        <v>18</v>
      </c>
      <c r="G1694" t="s">
        <v>239</v>
      </c>
      <c r="H1694">
        <v>0</v>
      </c>
      <c r="I1694">
        <v>5</v>
      </c>
      <c r="J1694">
        <v>4400</v>
      </c>
      <c r="K1694">
        <v>22000</v>
      </c>
      <c r="L1694">
        <v>0</v>
      </c>
      <c r="M1694">
        <v>22000</v>
      </c>
      <c r="N1694" t="s">
        <v>2200</v>
      </c>
      <c r="O1694" t="s">
        <v>1471</v>
      </c>
    </row>
    <row r="1695" spans="1:15" x14ac:dyDescent="0.3">
      <c r="A1695" t="str">
        <f t="shared" si="26"/>
        <v>PPBX009486-R000-XX</v>
      </c>
      <c r="B1695" t="s">
        <v>1487</v>
      </c>
      <c r="C1695" t="s">
        <v>2201</v>
      </c>
      <c r="D1695" t="s">
        <v>16</v>
      </c>
      <c r="E1695" t="s">
        <v>2198</v>
      </c>
      <c r="F1695" t="s">
        <v>18</v>
      </c>
      <c r="G1695" t="s">
        <v>239</v>
      </c>
      <c r="H1695">
        <v>0</v>
      </c>
      <c r="I1695">
        <v>5</v>
      </c>
      <c r="J1695">
        <v>4400</v>
      </c>
      <c r="K1695">
        <v>22000</v>
      </c>
      <c r="L1695">
        <v>0</v>
      </c>
      <c r="M1695">
        <v>22000</v>
      </c>
      <c r="N1695" t="s">
        <v>2200</v>
      </c>
      <c r="O1695" t="s">
        <v>1471</v>
      </c>
    </row>
    <row r="1696" spans="1:15" x14ac:dyDescent="0.3">
      <c r="A1696" t="str">
        <f t="shared" si="26"/>
        <v>PPBX009537-R000-XX</v>
      </c>
      <c r="B1696" t="s">
        <v>1487</v>
      </c>
      <c r="C1696" t="s">
        <v>2202</v>
      </c>
      <c r="D1696" t="s">
        <v>16</v>
      </c>
      <c r="E1696" t="s">
        <v>2203</v>
      </c>
      <c r="F1696" t="s">
        <v>18</v>
      </c>
      <c r="G1696" t="s">
        <v>1558</v>
      </c>
      <c r="H1696">
        <v>0</v>
      </c>
      <c r="I1696">
        <v>30</v>
      </c>
      <c r="J1696">
        <v>3190</v>
      </c>
      <c r="K1696">
        <v>95700</v>
      </c>
      <c r="L1696">
        <v>0</v>
      </c>
      <c r="M1696">
        <v>95700</v>
      </c>
      <c r="N1696" t="s">
        <v>2204</v>
      </c>
      <c r="O1696" t="s">
        <v>1471</v>
      </c>
    </row>
    <row r="1697" spans="1:15" x14ac:dyDescent="0.3">
      <c r="A1697" t="str">
        <f t="shared" si="26"/>
        <v>PPBX014739-R000-XX</v>
      </c>
      <c r="B1697" t="s">
        <v>1487</v>
      </c>
      <c r="C1697" t="s">
        <v>1588</v>
      </c>
      <c r="D1697" t="s">
        <v>16</v>
      </c>
      <c r="E1697" t="s">
        <v>1589</v>
      </c>
      <c r="F1697" t="s">
        <v>18</v>
      </c>
      <c r="G1697" t="s">
        <v>26</v>
      </c>
      <c r="H1697">
        <v>0</v>
      </c>
      <c r="I1697">
        <v>80</v>
      </c>
      <c r="J1697">
        <v>3810</v>
      </c>
      <c r="K1697">
        <v>304800</v>
      </c>
      <c r="L1697">
        <v>0</v>
      </c>
      <c r="M1697">
        <v>304800</v>
      </c>
      <c r="N1697" t="s">
        <v>1590</v>
      </c>
      <c r="O1697" t="s">
        <v>1471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02C48-997B-4519-900D-2ED3E4946BAE}">
  <sheetPr codeName="Sheet2">
    <pageSetUpPr fitToPage="1"/>
  </sheetPr>
  <dimension ref="A1:Z1000"/>
  <sheetViews>
    <sheetView showGridLines="0" tabSelected="1" view="pageBreakPreview" zoomScale="85" zoomScaleNormal="85" zoomScaleSheetLayoutView="85" workbookViewId="0">
      <selection activeCell="J11" sqref="J11"/>
    </sheetView>
  </sheetViews>
  <sheetFormatPr defaultColWidth="8.75" defaultRowHeight="19.899999999999999" customHeight="1" x14ac:dyDescent="0.3"/>
  <cols>
    <col min="1" max="1" width="3.75" style="1" customWidth="1"/>
    <col min="2" max="2" width="14.875" style="1" customWidth="1"/>
    <col min="3" max="3" width="17.625" style="1" bestFit="1" customWidth="1"/>
    <col min="4" max="4" width="19.375" style="1" customWidth="1"/>
    <col min="5" max="5" width="12.625" style="1" customWidth="1"/>
    <col min="6" max="6" width="8.75" style="2" customWidth="1"/>
    <col min="7" max="7" width="53.5" style="1" bestFit="1" customWidth="1"/>
    <col min="8" max="11" width="8.75" style="1"/>
    <col min="12" max="25" width="0" style="1" hidden="1" customWidth="1"/>
    <col min="26" max="16384" width="8.75" style="1"/>
  </cols>
  <sheetData>
    <row r="1" spans="1:26" ht="17.45" customHeight="1" x14ac:dyDescent="0.3">
      <c r="H1" s="31" t="s">
        <v>2222</v>
      </c>
      <c r="I1" s="31"/>
      <c r="J1" s="31"/>
      <c r="K1" s="31"/>
      <c r="Z1" s="1" t="s">
        <v>19</v>
      </c>
    </row>
    <row r="2" spans="1:26" s="5" customFormat="1" ht="25.15" customHeight="1" x14ac:dyDescent="0.3">
      <c r="B2" s="4" t="s">
        <v>2220</v>
      </c>
      <c r="F2" s="6"/>
      <c r="Z2" s="5" t="s">
        <v>22</v>
      </c>
    </row>
    <row r="3" spans="1:26" s="10" customFormat="1" ht="19.899999999999999" customHeight="1" x14ac:dyDescent="0.3">
      <c r="B3" s="8" t="s">
        <v>0</v>
      </c>
      <c r="C3" s="8" t="s">
        <v>1591</v>
      </c>
      <c r="D3" s="8" t="s">
        <v>1</v>
      </c>
      <c r="E3" s="8" t="s">
        <v>1592</v>
      </c>
      <c r="F3" s="9" t="s">
        <v>1593</v>
      </c>
      <c r="G3" s="8" t="s">
        <v>1594</v>
      </c>
      <c r="Z3" s="10" t="s">
        <v>23</v>
      </c>
    </row>
    <row r="4" spans="1:26" ht="19.899999999999999" customHeight="1" x14ac:dyDescent="0.3">
      <c r="B4" s="28" t="s">
        <v>2223</v>
      </c>
      <c r="C4" s="28" t="s">
        <v>1558</v>
      </c>
      <c r="D4" s="28" t="s">
        <v>64</v>
      </c>
      <c r="E4" s="28" t="s">
        <v>490</v>
      </c>
      <c r="F4" s="28"/>
      <c r="G4" s="28" t="s">
        <v>2082</v>
      </c>
      <c r="Z4" s="1" t="s">
        <v>29</v>
      </c>
    </row>
    <row r="5" spans="1:26" ht="19.899999999999999" customHeight="1" x14ac:dyDescent="0.3">
      <c r="B5" s="28" t="s">
        <v>2223</v>
      </c>
      <c r="C5" s="28" t="s">
        <v>1558</v>
      </c>
      <c r="D5" s="28" t="s">
        <v>2096</v>
      </c>
      <c r="E5" s="28" t="s">
        <v>31</v>
      </c>
      <c r="F5" s="28"/>
      <c r="G5" s="28" t="s">
        <v>2097</v>
      </c>
      <c r="Z5" s="1" t="s">
        <v>35</v>
      </c>
    </row>
    <row r="6" spans="1:26" ht="19.899999999999999" customHeight="1" x14ac:dyDescent="0.3">
      <c r="B6" s="28" t="s">
        <v>2223</v>
      </c>
      <c r="C6" s="28" t="s">
        <v>1558</v>
      </c>
      <c r="D6" s="28" t="s">
        <v>2100</v>
      </c>
      <c r="E6" s="28" t="s">
        <v>31</v>
      </c>
      <c r="F6" s="28"/>
      <c r="G6" s="28" t="s">
        <v>2101</v>
      </c>
      <c r="Z6" s="1" t="s">
        <v>49</v>
      </c>
    </row>
    <row r="7" spans="1:26" ht="19.899999999999999" customHeight="1" x14ac:dyDescent="0.3">
      <c r="B7" s="28" t="s">
        <v>2223</v>
      </c>
      <c r="C7" s="28" t="s">
        <v>1558</v>
      </c>
      <c r="D7" s="28" t="s">
        <v>2135</v>
      </c>
      <c r="E7" s="28" t="s">
        <v>16</v>
      </c>
      <c r="F7" s="28"/>
      <c r="G7" s="28" t="s">
        <v>2136</v>
      </c>
      <c r="Z7" s="1" t="s">
        <v>26</v>
      </c>
    </row>
    <row r="8" spans="1:26" ht="19.899999999999999" customHeight="1" x14ac:dyDescent="0.3">
      <c r="B8" s="28" t="s">
        <v>2223</v>
      </c>
      <c r="C8" s="28" t="s">
        <v>1558</v>
      </c>
      <c r="D8" s="28" t="s">
        <v>2142</v>
      </c>
      <c r="E8" s="28" t="s">
        <v>2143</v>
      </c>
      <c r="F8" s="28"/>
      <c r="G8" s="28" t="s">
        <v>2144</v>
      </c>
      <c r="Z8" s="1" t="s">
        <v>61</v>
      </c>
    </row>
    <row r="9" spans="1:26" ht="19.899999999999999" customHeight="1" x14ac:dyDescent="0.3">
      <c r="A9"/>
      <c r="B9" s="28" t="s">
        <v>2223</v>
      </c>
      <c r="C9" s="28" t="s">
        <v>1558</v>
      </c>
      <c r="D9" s="28" t="s">
        <v>1555</v>
      </c>
      <c r="E9" s="28" t="s">
        <v>1556</v>
      </c>
      <c r="F9" s="28"/>
      <c r="G9" s="28" t="s">
        <v>1557</v>
      </c>
      <c r="H9"/>
      <c r="I9"/>
      <c r="J9"/>
      <c r="Z9" s="1" t="s">
        <v>239</v>
      </c>
    </row>
    <row r="10" spans="1:26" ht="19.899999999999999" customHeight="1" x14ac:dyDescent="0.3">
      <c r="A10"/>
      <c r="B10" s="28" t="s">
        <v>2223</v>
      </c>
      <c r="C10" s="28" t="s">
        <v>1558</v>
      </c>
      <c r="D10" s="28" t="s">
        <v>2145</v>
      </c>
      <c r="E10" s="28" t="s">
        <v>2146</v>
      </c>
      <c r="F10" s="28"/>
      <c r="G10" s="28" t="s">
        <v>2147</v>
      </c>
      <c r="H10"/>
      <c r="I10"/>
      <c r="J10"/>
      <c r="Z10" s="1" t="s">
        <v>68</v>
      </c>
    </row>
    <row r="11" spans="1:26" ht="19.899999999999999" customHeight="1" x14ac:dyDescent="0.3">
      <c r="A11"/>
      <c r="B11" s="28" t="s">
        <v>2223</v>
      </c>
      <c r="C11" s="28" t="s">
        <v>1558</v>
      </c>
      <c r="D11" s="28" t="s">
        <v>1560</v>
      </c>
      <c r="E11" s="28" t="s">
        <v>1556</v>
      </c>
      <c r="F11" s="28"/>
      <c r="G11" s="28" t="s">
        <v>1561</v>
      </c>
      <c r="H11"/>
      <c r="I11"/>
      <c r="J11"/>
      <c r="Z11" s="1" t="s">
        <v>246</v>
      </c>
    </row>
    <row r="12" spans="1:26" ht="19.899999999999999" customHeight="1" x14ac:dyDescent="0.3">
      <c r="A12"/>
      <c r="B12" s="28" t="s">
        <v>2223</v>
      </c>
      <c r="C12" s="28" t="s">
        <v>1558</v>
      </c>
      <c r="D12" s="28" t="s">
        <v>1562</v>
      </c>
      <c r="E12" s="28" t="s">
        <v>16</v>
      </c>
      <c r="F12" s="28"/>
      <c r="G12" s="28" t="s">
        <v>1563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 t="s">
        <v>111</v>
      </c>
    </row>
    <row r="13" spans="1:26" ht="19.899999999999999" customHeight="1" x14ac:dyDescent="0.3">
      <c r="A13"/>
      <c r="B13" s="28" t="s">
        <v>2223</v>
      </c>
      <c r="C13" s="28" t="s">
        <v>1558</v>
      </c>
      <c r="D13" s="28" t="s">
        <v>2168</v>
      </c>
      <c r="E13" s="28" t="s">
        <v>31</v>
      </c>
      <c r="F13" s="28"/>
      <c r="G13" s="28" t="s">
        <v>2169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 t="s">
        <v>210</v>
      </c>
    </row>
    <row r="14" spans="1:26" ht="19.899999999999999" customHeight="1" x14ac:dyDescent="0.3">
      <c r="A14"/>
      <c r="B14" s="28" t="s">
        <v>2223</v>
      </c>
      <c r="C14" s="28" t="s">
        <v>1558</v>
      </c>
      <c r="D14" s="28" t="s">
        <v>2173</v>
      </c>
      <c r="E14" s="28" t="s">
        <v>31</v>
      </c>
      <c r="F14" s="28"/>
      <c r="G14" s="28" t="s">
        <v>2174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 t="s">
        <v>174</v>
      </c>
    </row>
    <row r="15" spans="1:26" ht="19.899999999999999" customHeight="1" x14ac:dyDescent="0.3">
      <c r="A15"/>
      <c r="B15" s="28" t="s">
        <v>2223</v>
      </c>
      <c r="C15" s="28" t="s">
        <v>1558</v>
      </c>
      <c r="D15" s="28" t="s">
        <v>1192</v>
      </c>
      <c r="E15" s="28" t="s">
        <v>1193</v>
      </c>
      <c r="F15" s="28"/>
      <c r="G15" s="28" t="s">
        <v>1194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t="s">
        <v>120</v>
      </c>
    </row>
    <row r="16" spans="1:26" ht="19.899999999999999" customHeight="1" x14ac:dyDescent="0.3">
      <c r="A16"/>
      <c r="B16" s="28" t="s">
        <v>2223</v>
      </c>
      <c r="C16" s="28" t="s">
        <v>1558</v>
      </c>
      <c r="D16" s="28" t="s">
        <v>1427</v>
      </c>
      <c r="E16" s="28" t="s">
        <v>16</v>
      </c>
      <c r="F16" s="28"/>
      <c r="G16" s="28" t="s">
        <v>1428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t="s">
        <v>119</v>
      </c>
    </row>
    <row r="17" spans="1:26" ht="19.899999999999999" customHeight="1" x14ac:dyDescent="0.3">
      <c r="A17"/>
      <c r="B17" s="28" t="s">
        <v>2223</v>
      </c>
      <c r="C17" s="28" t="s">
        <v>1558</v>
      </c>
      <c r="D17" s="28" t="s">
        <v>2188</v>
      </c>
      <c r="E17" s="28" t="s">
        <v>16</v>
      </c>
      <c r="F17" s="28"/>
      <c r="G17" s="28" t="s">
        <v>2189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t="s">
        <v>663</v>
      </c>
    </row>
    <row r="18" spans="1:26" ht="19.899999999999999" customHeight="1" x14ac:dyDescent="0.3">
      <c r="A18"/>
      <c r="B18" s="28" t="s">
        <v>2223</v>
      </c>
      <c r="C18" s="28" t="s">
        <v>1558</v>
      </c>
      <c r="D18" s="28" t="s">
        <v>2191</v>
      </c>
      <c r="E18" s="28" t="s">
        <v>16</v>
      </c>
      <c r="F18" s="28"/>
      <c r="G18" s="28" t="s">
        <v>2192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 t="s">
        <v>83</v>
      </c>
    </row>
    <row r="19" spans="1:26" ht="19.899999999999999" customHeight="1" x14ac:dyDescent="0.3">
      <c r="A19"/>
      <c r="B19" s="28" t="s">
        <v>2223</v>
      </c>
      <c r="C19" s="28" t="s">
        <v>1558</v>
      </c>
      <c r="D19" s="28" t="s">
        <v>1585</v>
      </c>
      <c r="E19" s="28" t="s">
        <v>16</v>
      </c>
      <c r="F19" s="28"/>
      <c r="G19" s="28" t="s">
        <v>1586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 t="s">
        <v>1677</v>
      </c>
    </row>
    <row r="20" spans="1:26" ht="19.899999999999999" customHeight="1" x14ac:dyDescent="0.3">
      <c r="A20"/>
      <c r="B20" s="28" t="s">
        <v>2223</v>
      </c>
      <c r="C20" s="28" t="s">
        <v>1558</v>
      </c>
      <c r="D20" s="28" t="s">
        <v>2202</v>
      </c>
      <c r="E20" s="28" t="s">
        <v>16</v>
      </c>
      <c r="F20" s="28"/>
      <c r="G20" s="28" t="s">
        <v>2203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t="s">
        <v>1685</v>
      </c>
    </row>
    <row r="21" spans="1:26" ht="19.899999999999999" customHeight="1" x14ac:dyDescent="0.3">
      <c r="A21"/>
      <c r="B21" s="30" t="s">
        <v>2221</v>
      </c>
      <c r="C21" s="30"/>
      <c r="D21" s="30"/>
      <c r="E21" s="30"/>
      <c r="F21" s="29"/>
      <c r="G21" s="29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t="s">
        <v>284</v>
      </c>
    </row>
    <row r="22" spans="1:26" ht="19.899999999999999" customHeight="1" x14ac:dyDescent="0.3">
      <c r="A22"/>
      <c r="B22" s="32"/>
      <c r="C22" s="32"/>
      <c r="D22" s="32"/>
      <c r="E22" s="32"/>
      <c r="F22" s="32"/>
      <c r="G22" s="3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t="s">
        <v>63</v>
      </c>
    </row>
    <row r="23" spans="1:26" ht="19.899999999999999" customHeight="1" x14ac:dyDescent="0.3">
      <c r="A23"/>
      <c r="B23" s="33" t="s">
        <v>2224</v>
      </c>
      <c r="C23" s="33"/>
      <c r="D23" s="33"/>
      <c r="E23" s="33"/>
      <c r="F23" s="33"/>
      <c r="G23" s="3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t="s">
        <v>248</v>
      </c>
    </row>
    <row r="24" spans="1:26" ht="19.899999999999999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9.899999999999999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9.899999999999999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9.899999999999999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9.899999999999999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9.899999999999999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9.899999999999999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9.89999999999999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9.899999999999999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9.899999999999999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9.899999999999999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9.899999999999999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9.899999999999999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9.899999999999999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9.899999999999999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9.899999999999999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9.899999999999999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9.899999999999999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9.899999999999999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9.899999999999999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9.899999999999999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9.899999999999999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9.899999999999999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9.899999999999999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9.899999999999999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9.899999999999999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9.899999999999999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9.899999999999999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9.899999999999999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9.899999999999999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9.899999999999999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9.899999999999999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9.899999999999999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9.899999999999999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9.899999999999999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9.899999999999999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9.899999999999999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19.899999999999999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ht="19.899999999999999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ht="19.899999999999999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ht="19.899999999999999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ht="19.899999999999999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ht="19.899999999999999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ht="19.899999999999999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ht="19.899999999999999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ht="19.899999999999999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ht="19.899999999999999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ht="19.899999999999999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ht="19.899999999999999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ht="19.899999999999999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ht="19.899999999999999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ht="19.899999999999999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ht="19.899999999999999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19.899999999999999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ht="19.899999999999999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ht="19.899999999999999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ht="19.899999999999999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ht="19.899999999999999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ht="19.899999999999999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ht="19.899999999999999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ht="19.899999999999999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ht="19.899999999999999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ht="19.899999999999999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ht="19.899999999999999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ht="19.899999999999999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ht="19.899999999999999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ht="19.899999999999999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ht="19.899999999999999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ht="19.899999999999999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ht="19.899999999999999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ht="19.899999999999999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ht="19.899999999999999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ht="19.899999999999999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ht="19.899999999999999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ht="19.899999999999999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ht="19.899999999999999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ht="19.899999999999999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ht="19.899999999999999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ht="19.899999999999999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ht="19.899999999999999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ht="19.899999999999999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ht="19.899999999999999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ht="19.899999999999999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ht="19.899999999999999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ht="19.899999999999999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ht="19.899999999999999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ht="19.899999999999999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ht="19.899999999999999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ht="19.899999999999999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ht="19.899999999999999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ht="19.899999999999999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ht="19.899999999999999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ht="19.899999999999999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ht="19.899999999999999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ht="19.899999999999999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ht="19.899999999999999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ht="19.899999999999999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ht="19.899999999999999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ht="19.899999999999999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ht="19.899999999999999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ht="19.899999999999999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ht="19.899999999999999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ht="19.899999999999999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ht="19.899999999999999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ht="19.899999999999999" customHeigh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ht="19.899999999999999" customHeigh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ht="19.899999999999999" customHeigh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ht="19.899999999999999" customHeigh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ht="19.899999999999999" customHeigh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ht="19.899999999999999" customHeigh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ht="19.899999999999999" customHeigh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ht="19.899999999999999" customHeigh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ht="19.899999999999999" customHeigh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ht="19.899999999999999" customHeigh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ht="19.899999999999999" customHeight="1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ht="19.899999999999999" customHeight="1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ht="19.899999999999999" customHeight="1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ht="19.899999999999999" customHeight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ht="19.899999999999999" customHeight="1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ht="19.899999999999999" customHeight="1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ht="19.899999999999999" customHeight="1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ht="19.899999999999999" customHeight="1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ht="19.899999999999999" customHeight="1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ht="19.899999999999999" customHeight="1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ht="19.899999999999999" customHeight="1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ht="19.899999999999999" customHeight="1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ht="19.899999999999999" customHeight="1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ht="19.899999999999999" customHeight="1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ht="19.899999999999999" customHeight="1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ht="19.899999999999999" customHeight="1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ht="19.899999999999999" customHeight="1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ht="19.899999999999999" customHeight="1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ht="19.899999999999999" customHeight="1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ht="19.899999999999999" customHeight="1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ht="19.899999999999999" customHeight="1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ht="19.899999999999999" customHeight="1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ht="19.899999999999999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ht="19.899999999999999" customHeight="1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ht="19.899999999999999" customHeight="1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ht="19.899999999999999" customHeight="1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ht="19.899999999999999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ht="19.899999999999999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ht="19.899999999999999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ht="19.899999999999999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ht="19.899999999999999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ht="19.899999999999999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ht="19.899999999999999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ht="19.899999999999999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ht="19.899999999999999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ht="19.899999999999999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ht="19.899999999999999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ht="19.899999999999999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ht="19.899999999999999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ht="19.899999999999999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ht="19.899999999999999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ht="19.899999999999999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ht="19.899999999999999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ht="19.899999999999999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ht="19.899999999999999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ht="19.899999999999999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ht="19.899999999999999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ht="19.899999999999999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ht="19.899999999999999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ht="19.899999999999999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ht="19.899999999999999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ht="19.899999999999999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ht="19.899999999999999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ht="19.899999999999999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ht="19.899999999999999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ht="19.899999999999999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ht="19.899999999999999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ht="19.899999999999999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ht="19.899999999999999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ht="19.899999999999999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ht="19.899999999999999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ht="19.899999999999999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ht="19.899999999999999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ht="19.899999999999999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ht="19.899999999999999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ht="19.899999999999999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ht="19.899999999999999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ht="19.899999999999999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ht="19.899999999999999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ht="19.899999999999999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ht="19.899999999999999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ht="19.899999999999999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ht="19.899999999999999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ht="19.899999999999999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ht="19.899999999999999" customHeight="1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ht="19.899999999999999" customHeight="1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ht="19.899999999999999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ht="19.899999999999999" customHeight="1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ht="19.899999999999999" customHeigh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ht="19.899999999999999" customHeigh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ht="19.899999999999999" customHeigh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ht="19.899999999999999" customHeigh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ht="19.899999999999999" customHeigh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ht="19.899999999999999" customHeigh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ht="19.899999999999999" customHeigh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ht="19.899999999999999" customHeigh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ht="19.899999999999999" customHeigh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ht="19.899999999999999" customHeigh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ht="19.899999999999999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ht="19.899999999999999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ht="19.899999999999999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ht="19.899999999999999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ht="19.899999999999999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ht="19.899999999999999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ht="19.899999999999999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ht="19.899999999999999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ht="19.899999999999999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ht="19.899999999999999" customHeigh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ht="19.899999999999999" customHeigh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ht="19.899999999999999" customHeigh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ht="19.899999999999999" customHeigh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ht="19.899999999999999" customHeigh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ht="19.899999999999999" customHeigh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ht="19.899999999999999" customHeigh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ht="19.899999999999999" customHeigh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ht="19.899999999999999" customHeigh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ht="19.899999999999999" customHeigh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ht="19.899999999999999" customHeigh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ht="19.899999999999999" customHeigh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ht="19.899999999999999" customHeigh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ht="19.899999999999999" customHeigh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ht="19.899999999999999" customHeigh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ht="19.899999999999999" customHeigh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ht="19.899999999999999" customHeigh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ht="19.899999999999999" customHeigh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ht="19.899999999999999" customHeigh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ht="19.899999999999999" customHeigh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ht="19.899999999999999" customHeigh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ht="19.899999999999999" customHeigh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ht="19.899999999999999" customHeigh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ht="19.899999999999999" customHeigh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ht="19.899999999999999" customHeigh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ht="19.899999999999999" customHeigh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ht="19.899999999999999" customHeigh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ht="19.899999999999999" customHeigh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ht="19.899999999999999" customHeigh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ht="19.899999999999999" customHeigh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ht="19.899999999999999" customHeigh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ht="19.899999999999999" customHeigh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ht="19.899999999999999" customHeigh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ht="19.899999999999999" customHeigh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ht="19.899999999999999" customHeigh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ht="19.899999999999999" customHeigh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ht="19.899999999999999" customHeigh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ht="19.899999999999999" customHeigh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ht="19.899999999999999" customHeigh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ht="19.899999999999999" customHeigh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ht="19.899999999999999" customHeigh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ht="19.899999999999999" customHeigh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ht="19.899999999999999" customHeigh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ht="19.899999999999999" customHeigh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ht="19.899999999999999" customHeigh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ht="19.899999999999999" customHeigh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ht="19.899999999999999" customHeigh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ht="19.899999999999999" customHeigh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ht="19.899999999999999" customHeigh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ht="19.899999999999999" customHeigh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ht="19.899999999999999" customHeigh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ht="19.899999999999999" customHeigh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ht="19.899999999999999" customHeigh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ht="19.899999999999999" customHeigh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ht="19.899999999999999" customHeigh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ht="19.899999999999999" customHeigh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ht="19.899999999999999" customHeigh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ht="19.899999999999999" customHeigh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ht="19.899999999999999" customHeigh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ht="19.899999999999999" customHeigh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ht="19.899999999999999" customHeigh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ht="19.899999999999999" customHeigh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ht="19.899999999999999" customHeigh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ht="19.899999999999999" customHeigh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ht="19.899999999999999" customHeigh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ht="19.899999999999999" customHeigh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ht="19.899999999999999" customHeigh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ht="19.899999999999999" customHeigh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ht="19.899999999999999" customHeigh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ht="19.899999999999999" customHeigh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ht="19.899999999999999" customHeigh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ht="19.899999999999999" customHeigh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ht="19.899999999999999" customHeigh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ht="19.899999999999999" customHeigh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ht="19.899999999999999" customHeigh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ht="19.899999999999999" customHeigh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ht="19.899999999999999" customHeigh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ht="19.899999999999999" customHeigh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ht="19.899999999999999" customHeigh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ht="19.899999999999999" customHeigh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ht="19.899999999999999" customHeigh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ht="19.899999999999999" customHeigh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ht="19.899999999999999" customHeigh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ht="19.899999999999999" customHeigh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ht="19.899999999999999" customHeigh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ht="19.899999999999999" customHeigh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ht="19.899999999999999" customHeigh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ht="19.899999999999999" customHeigh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ht="19.899999999999999" customHeigh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ht="19.899999999999999" customHeigh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ht="19.899999999999999" customHeigh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ht="19.899999999999999" customHeigh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ht="19.899999999999999" customHeigh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ht="19.899999999999999" customHeigh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ht="19.899999999999999" customHeigh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ht="19.899999999999999" customHeigh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ht="19.899999999999999" customHeigh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ht="19.899999999999999" customHeigh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ht="19.899999999999999" customHeigh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ht="19.899999999999999" customHeigh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ht="19.899999999999999" customHeigh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ht="19.899999999999999" customHeigh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ht="19.899999999999999" customHeigh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ht="19.899999999999999" customHeigh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ht="19.899999999999999" customHeigh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ht="19.899999999999999" customHeigh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ht="19.899999999999999" customHeigh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ht="19.899999999999999" customHeigh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ht="19.899999999999999" customHeigh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ht="19.899999999999999" customHeigh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ht="19.899999999999999" customHeigh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ht="19.899999999999999" customHeigh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ht="19.899999999999999" customHeigh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ht="19.899999999999999" customHeigh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ht="19.899999999999999" customHeigh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ht="19.899999999999999" customHeigh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ht="19.899999999999999" customHeigh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ht="19.899999999999999" customHeigh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ht="19.899999999999999" customHeigh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ht="19.899999999999999" customHeigh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ht="19.899999999999999" customHeigh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ht="19.899999999999999" customHeigh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ht="19.899999999999999" customHeigh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ht="19.899999999999999" customHeigh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ht="19.899999999999999" customHeigh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ht="19.899999999999999" customHeigh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ht="19.899999999999999" customHeigh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ht="19.899999999999999" customHeigh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ht="19.899999999999999" customHeigh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ht="19.899999999999999" customHeigh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ht="19.899999999999999" customHeigh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ht="19.899999999999999" customHeigh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ht="19.899999999999999" customHeigh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ht="19.899999999999999" customHeigh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ht="19.899999999999999" customHeigh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ht="19.899999999999999" customHeigh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ht="19.899999999999999" customHeigh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ht="19.899999999999999" customHeigh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ht="19.899999999999999" customHeigh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ht="19.899999999999999" customHeigh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ht="19.899999999999999" customHeigh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ht="19.899999999999999" customHeigh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ht="19.899999999999999" customHeigh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ht="19.899999999999999" customHeigh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ht="19.899999999999999" customHeigh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ht="19.899999999999999" customHeigh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ht="19.899999999999999" customHeigh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ht="19.899999999999999" customHeigh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ht="19.899999999999999" customHeigh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ht="19.899999999999999" customHeigh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ht="19.899999999999999" customHeigh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ht="19.899999999999999" customHeigh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ht="19.899999999999999" customHeigh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ht="19.899999999999999" customHeigh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ht="19.899999999999999" customHeigh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ht="19.899999999999999" customHeigh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ht="19.899999999999999" customHeigh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ht="19.899999999999999" customHeigh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ht="19.899999999999999" customHeigh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ht="19.899999999999999" customHeigh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ht="19.899999999999999" customHeigh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ht="19.899999999999999" customHeigh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ht="19.899999999999999" customHeigh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ht="19.899999999999999" customHeigh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ht="19.899999999999999" customHeigh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ht="19.899999999999999" customHeigh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ht="19.899999999999999" customHeigh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ht="19.899999999999999" customHeigh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ht="19.899999999999999" customHeigh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ht="19.899999999999999" customHeigh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ht="19.899999999999999" customHeigh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ht="19.899999999999999" customHeigh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ht="19.899999999999999" customHeigh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ht="19.899999999999999" customHeigh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ht="19.899999999999999" customHeigh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ht="19.899999999999999" customHeigh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ht="19.899999999999999" customHeigh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ht="19.899999999999999" customHeigh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ht="19.899999999999999" customHeigh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ht="19.899999999999999" customHeigh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ht="19.899999999999999" customHeigh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ht="19.899999999999999" customHeigh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ht="19.899999999999999" customHeigh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ht="19.899999999999999" customHeigh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ht="19.899999999999999" customHeigh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ht="19.899999999999999" customHeigh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ht="19.899999999999999" customHeigh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ht="19.899999999999999" customHeigh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ht="19.899999999999999" customHeigh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ht="19.899999999999999" customHeigh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ht="19.899999999999999" customHeigh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ht="19.899999999999999" customHeigh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ht="19.899999999999999" customHeigh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ht="19.899999999999999" customHeigh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ht="19.899999999999999" customHeigh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ht="19.899999999999999" customHeigh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ht="19.899999999999999" customHeigh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ht="19.899999999999999" customHeigh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ht="19.899999999999999" customHeigh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ht="19.899999999999999" customHeigh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ht="19.899999999999999" customHeigh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ht="19.899999999999999" customHeigh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ht="19.899999999999999" customHeigh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ht="19.899999999999999" customHeigh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ht="19.899999999999999" customHeigh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ht="19.899999999999999" customHeigh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ht="19.899999999999999" customHeigh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ht="19.899999999999999" customHeigh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ht="19.899999999999999" customHeigh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ht="19.899999999999999" customHeigh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ht="19.899999999999999" customHeigh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ht="19.899999999999999" customHeigh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ht="19.899999999999999" customHeigh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ht="19.899999999999999" customHeigh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ht="19.899999999999999" customHeigh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ht="19.899999999999999" customHeigh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ht="19.899999999999999" customHeigh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ht="19.899999999999999" customHeigh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ht="19.899999999999999" customHeigh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ht="19.899999999999999" customHeigh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ht="19.899999999999999" customHeigh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ht="19.899999999999999" customHeigh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ht="19.899999999999999" customHeigh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ht="19.899999999999999" customHeigh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ht="19.899999999999999" customHeigh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ht="19.899999999999999" customHeigh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ht="19.899999999999999" customHeigh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ht="19.899999999999999" customHeigh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ht="19.899999999999999" customHeigh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ht="19.899999999999999" customHeigh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ht="19.899999999999999" customHeigh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ht="19.899999999999999" customHeigh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ht="19.899999999999999" customHeigh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ht="19.899999999999999" customHeigh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ht="19.899999999999999" customHeigh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ht="19.899999999999999" customHeigh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ht="19.899999999999999" customHeigh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ht="19.899999999999999" customHeigh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ht="19.899999999999999" customHeigh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ht="19.899999999999999" customHeigh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ht="19.899999999999999" customHeigh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ht="19.899999999999999" customHeigh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ht="19.899999999999999" customHeigh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ht="19.899999999999999" customHeigh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ht="19.899999999999999" customHeigh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ht="19.899999999999999" customHeigh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ht="19.899999999999999" customHeigh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ht="19.899999999999999" customHeigh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ht="19.899999999999999" customHeigh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ht="19.899999999999999" customHeigh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ht="19.899999999999999" customHeigh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ht="19.899999999999999" customHeigh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ht="19.899999999999999" customHeigh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ht="19.899999999999999" customHeigh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ht="19.899999999999999" customHeigh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ht="19.899999999999999" customHeigh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ht="19.899999999999999" customHeigh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ht="19.899999999999999" customHeigh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ht="19.899999999999999" customHeigh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ht="19.899999999999999" customHeigh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ht="19.899999999999999" customHeigh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ht="19.899999999999999" customHeigh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ht="19.899999999999999" customHeigh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ht="19.899999999999999" customHeigh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ht="19.899999999999999" customHeigh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ht="19.899999999999999" customHeigh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ht="19.899999999999999" customHeight="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ht="19.899999999999999" customHeigh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ht="19.899999999999999" customHeigh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ht="19.899999999999999" customHeigh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ht="19.899999999999999" customHeigh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ht="19.899999999999999" customHeigh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ht="19.899999999999999" customHeigh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ht="19.899999999999999" customHeigh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ht="19.899999999999999" customHeight="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ht="19.899999999999999" customHeigh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ht="19.899999999999999" customHeigh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ht="19.899999999999999" customHeigh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ht="19.899999999999999" customHeigh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ht="19.899999999999999" customHeigh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ht="19.899999999999999" customHeight="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ht="19.899999999999999" customHeight="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ht="19.899999999999999" customHeigh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ht="19.899999999999999" customHeigh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ht="19.899999999999999" customHeigh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ht="19.899999999999999" customHeight="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ht="19.899999999999999" customHeigh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ht="19.899999999999999" customHeight="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ht="19.899999999999999" customHeigh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ht="19.899999999999999" customHeigh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ht="19.899999999999999" customHeigh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ht="19.899999999999999" customHeight="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ht="19.899999999999999" customHeight="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ht="19.899999999999999" customHeight="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ht="19.899999999999999" customHeight="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ht="19.899999999999999" customHeight="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ht="19.899999999999999" customHeigh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ht="19.899999999999999" customHeigh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ht="19.899999999999999" customHeight="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ht="19.899999999999999" customHeight="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ht="19.899999999999999" customHeigh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ht="19.899999999999999" customHeight="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ht="19.899999999999999" customHeight="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ht="19.899999999999999" customHeight="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ht="19.899999999999999" customHeight="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ht="19.899999999999999" customHeight="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ht="19.899999999999999" customHeight="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ht="19.899999999999999" customHeigh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ht="19.899999999999999" customHeight="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ht="19.899999999999999" customHeight="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ht="19.899999999999999" customHeigh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ht="19.899999999999999" customHeight="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ht="19.899999999999999" customHeight="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ht="19.899999999999999" customHeight="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ht="19.899999999999999" customHeight="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ht="19.899999999999999" customHeight="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ht="19.899999999999999" customHeight="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ht="19.899999999999999" customHeight="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ht="19.899999999999999" customHeight="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ht="19.899999999999999" customHeight="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ht="19.899999999999999" customHeight="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ht="19.899999999999999" customHeight="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ht="19.899999999999999" customHeight="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ht="19.899999999999999" customHeight="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ht="19.899999999999999" customHeight="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ht="19.899999999999999" customHeight="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ht="19.899999999999999" customHeight="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ht="19.899999999999999" customHeight="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ht="19.899999999999999" customHeight="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ht="19.899999999999999" customHeight="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ht="19.899999999999999" customHeight="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ht="19.899999999999999" customHeight="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ht="19.899999999999999" customHeight="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ht="19.899999999999999" customHeight="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ht="19.899999999999999" customHeight="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ht="19.899999999999999" customHeight="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ht="19.899999999999999" customHeight="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ht="19.899999999999999" customHeight="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ht="19.899999999999999" customHeight="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ht="19.899999999999999" customHeight="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ht="19.899999999999999" customHeight="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ht="19.899999999999999" customHeight="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ht="19.899999999999999" customHeight="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ht="19.899999999999999" customHeight="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ht="19.899999999999999" customHeight="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ht="19.899999999999999" customHeight="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ht="19.899999999999999" customHeight="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ht="19.899999999999999" customHeight="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ht="19.899999999999999" customHeight="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ht="19.899999999999999" customHeight="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ht="19.899999999999999" customHeight="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ht="19.899999999999999" customHeight="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ht="19.899999999999999" customHeight="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ht="19.899999999999999" customHeight="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ht="19.899999999999999" customHeight="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ht="19.899999999999999" customHeight="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ht="19.899999999999999" customHeight="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ht="19.899999999999999" customHeight="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ht="19.899999999999999" customHeight="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ht="19.899999999999999" customHeight="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ht="19.899999999999999" customHeight="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ht="19.899999999999999" customHeight="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ht="19.899999999999999" customHeight="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ht="19.899999999999999" customHeight="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ht="19.899999999999999" customHeight="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ht="19.899999999999999" customHeight="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ht="19.899999999999999" customHeight="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ht="19.899999999999999" customHeight="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ht="19.899999999999999" customHeight="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ht="19.899999999999999" customHeight="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ht="19.899999999999999" customHeight="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ht="19.899999999999999" customHeight="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ht="19.899999999999999" customHeight="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ht="19.899999999999999" customHeight="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ht="19.899999999999999" customHeight="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ht="19.899999999999999" customHeight="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ht="19.899999999999999" customHeight="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ht="19.899999999999999" customHeight="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ht="19.899999999999999" customHeight="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ht="19.899999999999999" customHeight="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ht="19.899999999999999" customHeight="1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ht="19.899999999999999" customHeight="1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ht="19.899999999999999" customHeight="1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ht="19.899999999999999" customHeight="1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ht="19.899999999999999" customHeight="1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ht="19.899999999999999" customHeight="1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ht="19.899999999999999" customHeight="1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ht="19.899999999999999" customHeight="1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ht="19.899999999999999" customHeight="1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ht="19.899999999999999" customHeight="1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ht="19.899999999999999" customHeight="1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ht="19.899999999999999" customHeight="1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ht="19.899999999999999" customHeight="1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ht="19.899999999999999" customHeight="1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ht="19.899999999999999" customHeight="1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ht="19.899999999999999" customHeight="1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ht="19.899999999999999" customHeight="1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ht="19.899999999999999" customHeight="1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ht="19.899999999999999" customHeight="1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ht="19.899999999999999" customHeight="1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ht="19.899999999999999" customHeight="1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ht="19.899999999999999" customHeight="1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ht="19.899999999999999" customHeight="1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ht="19.899999999999999" customHeight="1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ht="19.899999999999999" customHeight="1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ht="19.899999999999999" customHeight="1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ht="19.899999999999999" customHeight="1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ht="19.899999999999999" customHeight="1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ht="19.899999999999999" customHeight="1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ht="19.899999999999999" customHeight="1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ht="19.899999999999999" customHeight="1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ht="19.899999999999999" customHeight="1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ht="19.899999999999999" customHeight="1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ht="19.899999999999999" customHeight="1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ht="19.899999999999999" customHeight="1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ht="19.899999999999999" customHeight="1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ht="19.899999999999999" customHeight="1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ht="19.899999999999999" customHeight="1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ht="19.899999999999999" customHeight="1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ht="19.899999999999999" customHeight="1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ht="19.899999999999999" customHeight="1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ht="19.899999999999999" customHeight="1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ht="19.899999999999999" customHeight="1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ht="19.899999999999999" customHeight="1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ht="19.899999999999999" customHeight="1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ht="19.899999999999999" customHeight="1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ht="19.899999999999999" customHeight="1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ht="19.899999999999999" customHeight="1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ht="19.899999999999999" customHeight="1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ht="19.899999999999999" customHeight="1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ht="19.899999999999999" customHeight="1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ht="19.899999999999999" customHeight="1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ht="19.899999999999999" customHeight="1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ht="19.899999999999999" customHeight="1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ht="19.899999999999999" customHeight="1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ht="19.899999999999999" customHeight="1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ht="19.899999999999999" customHeight="1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ht="19.899999999999999" customHeight="1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ht="19.899999999999999" customHeight="1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ht="19.899999999999999" customHeight="1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ht="19.899999999999999" customHeight="1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ht="19.899999999999999" customHeight="1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ht="19.899999999999999" customHeight="1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ht="19.899999999999999" customHeight="1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ht="19.899999999999999" customHeight="1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ht="19.899999999999999" customHeight="1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ht="19.899999999999999" customHeight="1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ht="19.899999999999999" customHeight="1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ht="19.899999999999999" customHeight="1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ht="19.899999999999999" customHeight="1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ht="19.899999999999999" customHeight="1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ht="19.899999999999999" customHeight="1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ht="19.899999999999999" customHeight="1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ht="19.899999999999999" customHeight="1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ht="19.899999999999999" customHeight="1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ht="19.899999999999999" customHeight="1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ht="19.899999999999999" customHeight="1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ht="19.899999999999999" customHeight="1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ht="19.899999999999999" customHeight="1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ht="19.899999999999999" customHeight="1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ht="19.899999999999999" customHeight="1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ht="19.899999999999999" customHeight="1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ht="19.899999999999999" customHeight="1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ht="19.899999999999999" customHeight="1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ht="19.899999999999999" customHeight="1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ht="19.899999999999999" customHeight="1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ht="19.899999999999999" customHeight="1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ht="19.899999999999999" customHeight="1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ht="19.899999999999999" customHeight="1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ht="19.899999999999999" customHeight="1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ht="19.899999999999999" customHeight="1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ht="19.899999999999999" customHeight="1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ht="19.899999999999999" customHeight="1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ht="19.899999999999999" customHeight="1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ht="19.899999999999999" customHeight="1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ht="19.899999999999999" customHeight="1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ht="19.899999999999999" customHeight="1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ht="19.899999999999999" customHeight="1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ht="19.899999999999999" customHeight="1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ht="19.899999999999999" customHeight="1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ht="19.899999999999999" customHeight="1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ht="19.899999999999999" customHeight="1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ht="19.899999999999999" customHeight="1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ht="19.899999999999999" customHeight="1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ht="19.899999999999999" customHeight="1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ht="19.899999999999999" customHeight="1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ht="19.899999999999999" customHeight="1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ht="19.899999999999999" customHeight="1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ht="19.899999999999999" customHeight="1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ht="19.899999999999999" customHeight="1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ht="19.899999999999999" customHeight="1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ht="19.899999999999999" customHeight="1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ht="19.899999999999999" customHeight="1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ht="19.899999999999999" customHeight="1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ht="19.899999999999999" customHeight="1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ht="19.899999999999999" customHeight="1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ht="19.899999999999999" customHeight="1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ht="19.899999999999999" customHeight="1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ht="19.899999999999999" customHeight="1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ht="19.899999999999999" customHeight="1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ht="19.899999999999999" customHeight="1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ht="19.899999999999999" customHeight="1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ht="19.899999999999999" customHeight="1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ht="19.899999999999999" customHeight="1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ht="19.899999999999999" customHeight="1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ht="19.899999999999999" customHeight="1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ht="19.899999999999999" customHeight="1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ht="19.899999999999999" customHeight="1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ht="19.899999999999999" customHeight="1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ht="19.899999999999999" customHeight="1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ht="19.899999999999999" customHeight="1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ht="19.899999999999999" customHeight="1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ht="19.899999999999999" customHeight="1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ht="19.899999999999999" customHeight="1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ht="19.899999999999999" customHeight="1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ht="19.899999999999999" customHeight="1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ht="19.899999999999999" customHeight="1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ht="19.899999999999999" customHeight="1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ht="19.899999999999999" customHeight="1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ht="19.899999999999999" customHeight="1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ht="19.899999999999999" customHeight="1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ht="19.899999999999999" customHeight="1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ht="19.899999999999999" customHeight="1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ht="19.899999999999999" customHeight="1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ht="19.899999999999999" customHeight="1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ht="19.899999999999999" customHeight="1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ht="19.899999999999999" customHeight="1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ht="19.899999999999999" customHeight="1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ht="19.899999999999999" customHeight="1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ht="19.899999999999999" customHeight="1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ht="19.899999999999999" customHeight="1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ht="19.899999999999999" customHeight="1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ht="19.899999999999999" customHeight="1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ht="19.899999999999999" customHeight="1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ht="19.899999999999999" customHeight="1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ht="19.899999999999999" customHeight="1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ht="19.899999999999999" customHeight="1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ht="19.899999999999999" customHeight="1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ht="19.899999999999999" customHeight="1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ht="19.899999999999999" customHeight="1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ht="19.899999999999999" customHeight="1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ht="19.899999999999999" customHeight="1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ht="19.899999999999999" customHeight="1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ht="19.899999999999999" customHeight="1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ht="19.899999999999999" customHeight="1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ht="19.899999999999999" customHeight="1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ht="19.899999999999999" customHeight="1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ht="19.899999999999999" customHeight="1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ht="19.899999999999999" customHeight="1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ht="19.899999999999999" customHeight="1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ht="19.899999999999999" customHeight="1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ht="19.899999999999999" customHeight="1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ht="19.899999999999999" customHeight="1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ht="19.899999999999999" customHeight="1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ht="19.899999999999999" customHeight="1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ht="19.899999999999999" customHeight="1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ht="19.899999999999999" customHeight="1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ht="19.899999999999999" customHeight="1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ht="19.899999999999999" customHeight="1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ht="19.899999999999999" customHeight="1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ht="19.899999999999999" customHeight="1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ht="19.899999999999999" customHeight="1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ht="19.899999999999999" customHeight="1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ht="19.899999999999999" customHeight="1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ht="19.899999999999999" customHeight="1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ht="19.899999999999999" customHeight="1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ht="19.899999999999999" customHeight="1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ht="19.899999999999999" customHeight="1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ht="19.899999999999999" customHeight="1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ht="19.899999999999999" customHeight="1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ht="19.899999999999999" customHeight="1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ht="19.899999999999999" customHeight="1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ht="19.899999999999999" customHeight="1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ht="19.899999999999999" customHeight="1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ht="19.899999999999999" customHeight="1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ht="19.899999999999999" customHeight="1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ht="19.899999999999999" customHeight="1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ht="19.899999999999999" customHeight="1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ht="19.899999999999999" customHeight="1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ht="19.899999999999999" customHeight="1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ht="19.899999999999999" customHeight="1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ht="19.899999999999999" customHeight="1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ht="19.899999999999999" customHeight="1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ht="19.899999999999999" customHeight="1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ht="19.899999999999999" customHeight="1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ht="19.899999999999999" customHeight="1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ht="19.899999999999999" customHeight="1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ht="19.899999999999999" customHeight="1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ht="19.899999999999999" customHeight="1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ht="19.899999999999999" customHeight="1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ht="19.899999999999999" customHeight="1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ht="19.899999999999999" customHeight="1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ht="19.899999999999999" customHeight="1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ht="19.899999999999999" customHeight="1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ht="19.899999999999999" customHeight="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ht="19.899999999999999" customHeight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ht="19.899999999999999" customHeight="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ht="19.899999999999999" customHeight="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ht="19.899999999999999" customHeight="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ht="19.899999999999999" customHeight="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ht="19.899999999999999" customHeight="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ht="19.899999999999999" customHeight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ht="19.899999999999999" customHeight="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ht="19.899999999999999" customHeight="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ht="19.899999999999999" customHeight="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ht="19.899999999999999" customHeight="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ht="19.899999999999999" customHeight="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ht="19.899999999999999" customHeight="1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ht="19.899999999999999" customHeight="1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ht="19.899999999999999" customHeight="1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ht="19.899999999999999" customHeight="1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ht="19.899999999999999" customHeight="1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ht="19.899999999999999" customHeight="1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ht="19.899999999999999" customHeight="1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ht="19.899999999999999" customHeight="1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ht="19.899999999999999" customHeight="1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ht="19.899999999999999" customHeight="1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ht="19.899999999999999" customHeight="1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ht="19.899999999999999" customHeight="1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ht="19.899999999999999" customHeight="1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ht="19.899999999999999" customHeight="1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ht="19.899999999999999" customHeight="1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ht="19.899999999999999" customHeight="1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ht="19.899999999999999" customHeight="1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ht="19.899999999999999" customHeight="1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ht="19.899999999999999" customHeight="1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ht="19.899999999999999" customHeight="1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ht="19.899999999999999" customHeight="1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ht="19.899999999999999" customHeight="1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ht="19.899999999999999" customHeight="1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ht="19.899999999999999" customHeight="1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ht="19.899999999999999" customHeight="1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ht="19.899999999999999" customHeight="1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ht="19.899999999999999" customHeight="1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ht="19.899999999999999" customHeight="1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ht="19.899999999999999" customHeight="1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ht="19.899999999999999" customHeight="1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ht="19.899999999999999" customHeight="1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ht="19.899999999999999" customHeight="1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ht="19.899999999999999" customHeight="1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ht="19.899999999999999" customHeight="1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ht="19.899999999999999" customHeight="1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ht="19.899999999999999" customHeight="1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ht="19.899999999999999" customHeight="1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ht="19.899999999999999" customHeight="1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ht="19.899999999999999" customHeight="1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ht="19.899999999999999" customHeight="1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ht="19.899999999999999" customHeight="1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ht="19.899999999999999" customHeight="1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ht="19.899999999999999" customHeight="1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ht="19.899999999999999" customHeight="1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ht="19.899999999999999" customHeight="1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ht="19.899999999999999" customHeight="1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ht="19.899999999999999" customHeight="1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ht="19.899999999999999" customHeight="1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ht="19.899999999999999" customHeight="1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ht="19.899999999999999" customHeight="1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ht="19.899999999999999" customHeight="1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ht="19.899999999999999" customHeight="1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ht="19.899999999999999" customHeight="1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ht="19.899999999999999" customHeight="1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ht="19.899999999999999" customHeight="1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ht="19.899999999999999" customHeight="1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ht="19.899999999999999" customHeight="1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ht="19.899999999999999" customHeight="1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ht="19.899999999999999" customHeight="1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ht="19.899999999999999" customHeight="1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ht="19.899999999999999" customHeight="1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ht="19.899999999999999" customHeight="1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ht="19.899999999999999" customHeight="1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ht="19.899999999999999" customHeight="1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ht="19.899999999999999" customHeight="1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ht="19.899999999999999" customHeight="1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ht="19.899999999999999" customHeight="1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ht="19.899999999999999" customHeight="1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ht="19.899999999999999" customHeight="1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ht="19.899999999999999" customHeight="1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ht="19.899999999999999" customHeight="1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ht="19.899999999999999" customHeight="1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ht="19.899999999999999" customHeight="1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ht="19.899999999999999" customHeight="1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ht="19.899999999999999" customHeight="1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ht="19.899999999999999" customHeight="1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ht="19.899999999999999" customHeight="1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ht="19.899999999999999" customHeight="1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ht="19.899999999999999" customHeight="1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ht="19.899999999999999" customHeight="1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ht="19.899999999999999" customHeight="1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ht="19.899999999999999" customHeight="1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ht="19.899999999999999" customHeight="1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ht="19.899999999999999" customHeight="1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ht="19.899999999999999" customHeight="1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ht="19.899999999999999" customHeight="1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ht="19.899999999999999" customHeight="1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ht="19.899999999999999" customHeight="1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ht="19.899999999999999" customHeight="1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ht="19.899999999999999" customHeight="1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ht="19.899999999999999" customHeight="1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ht="19.899999999999999" customHeight="1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ht="19.899999999999999" customHeight="1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ht="19.899999999999999" customHeight="1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ht="19.899999999999999" customHeight="1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ht="19.899999999999999" customHeight="1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ht="19.899999999999999" customHeight="1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ht="19.899999999999999" customHeight="1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ht="19.899999999999999" customHeight="1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ht="19.899999999999999" customHeight="1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ht="19.899999999999999" customHeight="1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ht="19.899999999999999" customHeight="1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ht="19.899999999999999" customHeight="1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ht="19.899999999999999" customHeight="1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ht="19.899999999999999" customHeight="1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ht="19.899999999999999" customHeight="1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ht="19.899999999999999" customHeight="1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ht="19.899999999999999" customHeight="1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ht="19.899999999999999" customHeight="1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ht="19.899999999999999" customHeight="1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ht="19.899999999999999" customHeight="1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ht="19.899999999999999" customHeight="1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ht="19.899999999999999" customHeight="1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ht="19.899999999999999" customHeight="1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ht="19.899999999999999" customHeight="1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ht="19.899999999999999" customHeight="1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ht="19.899999999999999" customHeight="1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ht="19.899999999999999" customHeight="1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ht="19.899999999999999" customHeight="1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ht="19.899999999999999" customHeight="1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ht="19.899999999999999" customHeight="1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ht="19.899999999999999" customHeight="1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ht="19.899999999999999" customHeight="1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ht="19.899999999999999" customHeight="1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ht="19.899999999999999" customHeight="1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ht="19.899999999999999" customHeight="1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ht="19.899999999999999" customHeight="1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ht="19.899999999999999" customHeight="1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ht="19.899999999999999" customHeight="1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ht="19.899999999999999" customHeight="1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ht="19.899999999999999" customHeight="1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ht="19.899999999999999" customHeight="1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ht="19.899999999999999" customHeight="1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ht="19.899999999999999" customHeight="1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ht="19.899999999999999" customHeight="1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ht="19.899999999999999" customHeight="1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ht="19.899999999999999" customHeight="1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ht="19.899999999999999" customHeight="1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ht="19.899999999999999" customHeight="1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ht="19.899999999999999" customHeight="1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ht="19.899999999999999" customHeight="1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ht="19.899999999999999" customHeight="1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ht="19.899999999999999" customHeight="1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ht="19.899999999999999" customHeight="1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ht="19.899999999999999" customHeight="1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ht="19.899999999999999" customHeight="1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ht="19.899999999999999" customHeight="1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ht="19.899999999999999" customHeight="1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ht="19.899999999999999" customHeight="1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ht="19.899999999999999" customHeight="1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ht="19.899999999999999" customHeight="1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ht="19.899999999999999" customHeight="1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ht="19.899999999999999" customHeight="1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ht="19.899999999999999" customHeight="1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ht="19.899999999999999" customHeight="1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ht="19.899999999999999" customHeight="1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ht="19.899999999999999" customHeight="1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ht="19.899999999999999" customHeight="1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ht="19.899999999999999" customHeight="1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</sheetData>
  <mergeCells count="3">
    <mergeCell ref="H1:K1"/>
    <mergeCell ref="B21:E21"/>
    <mergeCell ref="B23:G2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E841-DF21-489E-8CDD-DF704B0E8AC8}">
  <sheetPr codeName="Sheet3"/>
  <dimension ref="B2:P2"/>
  <sheetViews>
    <sheetView workbookViewId="0">
      <selection activeCell="C2" sqref="C2"/>
    </sheetView>
  </sheetViews>
  <sheetFormatPr defaultRowHeight="16.5" x14ac:dyDescent="0.3"/>
  <cols>
    <col min="2" max="2" width="16.25" bestFit="1" customWidth="1"/>
    <col min="11" max="11" width="16.25" bestFit="1" customWidth="1"/>
    <col min="12" max="12" width="19.25" bestFit="1" customWidth="1"/>
    <col min="13" max="13" width="5.75" bestFit="1" customWidth="1"/>
    <col min="14" max="14" width="6.5" bestFit="1" customWidth="1"/>
  </cols>
  <sheetData>
    <row r="2" spans="2:16" x14ac:dyDescent="0.3">
      <c r="B2" t="e" cm="1">
        <f t="array" ref="B2">_xlfn._xlws.FILTER('자재매출 DATA'!B:I, '자재매출 DATA'!G:G = '재고자산확인서 양식'!#REF!, "조건에 맞는 데이터가 없습니다.")</f>
        <v>#REF!</v>
      </c>
      <c r="K2" t="e" cm="1">
        <f t="array" ref="K2">_xlfn._xlws.FILTER(CHOOSE({1,2,3,4}, '자재매출 DATA'!B:B, '자재매출 DATA'!C:C, '자재매출 DATA'!D:D, '자재매출 DATA'!I:I), '자재매출 DATA'!G:G = '재고자산확인서 양식'!#REF!, "조건에 맞는 데이터가 없습니다.")</f>
        <v>#REF!</v>
      </c>
      <c r="P2" t="e" cm="1">
        <f t="array" ref="P2">_xlfn._xlws.FILTER(CHOOSE({1,2,3,4,5}, '자재매출 DATA'!B:B, '자재매출 DATA'!G:G, '자재매출 DATA'!C:C, '자재매출 DATA'!D:D, '자재매출 DATA'!I:I), '자재매출 DATA'!G:G = '재고자산확인서 양식'!#REF!, "조건에 맞는 데이터가 없습니다.")</f>
        <v>#REF!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8D2CC-7922-4260-B70A-4B05785992CC}">
  <sheetPr codeName="Sheet4"/>
  <dimension ref="C1:L1699"/>
  <sheetViews>
    <sheetView showGridLines="0" view="pageBreakPreview" zoomScale="85" zoomScaleNormal="85" zoomScaleSheetLayoutView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9" sqref="K29"/>
    </sheetView>
  </sheetViews>
  <sheetFormatPr defaultColWidth="8.75" defaultRowHeight="19.899999999999999" customHeight="1" x14ac:dyDescent="0.3"/>
  <cols>
    <col min="1" max="1" width="3.75" style="1" customWidth="1"/>
    <col min="2" max="2" width="8.75" style="1"/>
    <col min="3" max="3" width="1.75" style="1" customWidth="1"/>
    <col min="4" max="4" width="15.75" style="1" customWidth="1"/>
    <col min="5" max="5" width="1.75" style="1" customWidth="1"/>
    <col min="6" max="6" width="15.75" style="1" customWidth="1"/>
    <col min="7" max="7" width="1.75" style="3" customWidth="1"/>
    <col min="8" max="8" width="15.75" style="1" customWidth="1"/>
    <col min="9" max="10" width="8.75" style="1"/>
    <col min="11" max="11" width="28.75" style="1" bestFit="1" customWidth="1"/>
    <col min="12" max="16384" width="8.75" style="1"/>
  </cols>
  <sheetData>
    <row r="1" spans="3:12" ht="17.45" customHeight="1" x14ac:dyDescent="0.3"/>
    <row r="2" spans="3:12" s="5" customFormat="1" ht="25.15" customHeight="1" x14ac:dyDescent="0.3">
      <c r="C2" s="7" t="s">
        <v>1595</v>
      </c>
      <c r="D2" s="1"/>
      <c r="E2" s="1"/>
      <c r="F2" s="1"/>
      <c r="G2" s="3"/>
      <c r="H2" s="1"/>
    </row>
    <row r="3" spans="3:12" s="10" customFormat="1" ht="19.899999999999999" customHeight="1" x14ac:dyDescent="0.3">
      <c r="D3" s="11" t="s">
        <v>1596</v>
      </c>
      <c r="E3" s="11"/>
      <c r="F3" s="12" t="s">
        <v>1597</v>
      </c>
      <c r="G3" s="13"/>
      <c r="H3" s="12" t="s">
        <v>1598</v>
      </c>
    </row>
    <row r="4" spans="3:12" ht="19.899999999999999" customHeight="1" x14ac:dyDescent="0.3">
      <c r="D4" s="14" t="s">
        <v>1599</v>
      </c>
      <c r="E4" s="15"/>
      <c r="F4" s="16" t="s">
        <v>246</v>
      </c>
      <c r="G4" s="17"/>
      <c r="H4" s="16" t="s">
        <v>2205</v>
      </c>
      <c r="K4" s="16" t="s">
        <v>19</v>
      </c>
    </row>
    <row r="5" spans="3:12" ht="19.899999999999999" customHeight="1" x14ac:dyDescent="0.3">
      <c r="D5" s="14" t="s">
        <v>1600</v>
      </c>
      <c r="E5" s="15"/>
      <c r="F5" s="16" t="s">
        <v>1601</v>
      </c>
      <c r="G5" s="17"/>
      <c r="H5" s="16" t="s">
        <v>2206</v>
      </c>
      <c r="I5" s="18"/>
      <c r="K5" s="16" t="s">
        <v>22</v>
      </c>
      <c r="L5" s="18"/>
    </row>
    <row r="6" spans="3:12" ht="19.899999999999999" customHeight="1" x14ac:dyDescent="0.3">
      <c r="D6" s="14" t="s">
        <v>1602</v>
      </c>
      <c r="E6" s="25"/>
      <c r="F6" s="16" t="s">
        <v>1604</v>
      </c>
      <c r="G6" s="17"/>
      <c r="H6" s="16" t="s">
        <v>2207</v>
      </c>
      <c r="K6" s="16" t="s">
        <v>23</v>
      </c>
    </row>
    <row r="7" spans="3:12" ht="19.899999999999999" customHeight="1" x14ac:dyDescent="0.3">
      <c r="D7" s="14" t="s">
        <v>1603</v>
      </c>
      <c r="E7" s="15"/>
      <c r="F7" s="16" t="s">
        <v>2205</v>
      </c>
      <c r="G7" s="17"/>
      <c r="H7" s="16" t="s">
        <v>239</v>
      </c>
      <c r="K7" s="16" t="s">
        <v>29</v>
      </c>
    </row>
    <row r="8" spans="3:12" ht="19.899999999999999" customHeight="1" x14ac:dyDescent="0.3">
      <c r="D8" s="14" t="s">
        <v>1605</v>
      </c>
      <c r="E8" s="15"/>
      <c r="F8" s="16" t="s">
        <v>2208</v>
      </c>
      <c r="G8" s="17"/>
      <c r="H8" s="16" t="s">
        <v>2209</v>
      </c>
      <c r="K8" s="16" t="s">
        <v>35</v>
      </c>
    </row>
    <row r="9" spans="3:12" ht="19.899999999999999" customHeight="1" x14ac:dyDescent="0.3">
      <c r="D9" s="14" t="s">
        <v>1606</v>
      </c>
      <c r="E9" s="15"/>
      <c r="F9" s="16" t="s">
        <v>2210</v>
      </c>
      <c r="G9" s="17"/>
      <c r="H9" s="16" t="s">
        <v>1622</v>
      </c>
      <c r="K9" s="16" t="s">
        <v>49</v>
      </c>
    </row>
    <row r="10" spans="3:12" ht="19.899999999999999" customHeight="1" x14ac:dyDescent="0.3">
      <c r="D10" s="14" t="s">
        <v>1607</v>
      </c>
      <c r="E10" s="15"/>
      <c r="F10" s="16" t="s">
        <v>1622</v>
      </c>
      <c r="G10" s="1"/>
      <c r="H10" s="16" t="s">
        <v>1608</v>
      </c>
      <c r="K10" s="16" t="s">
        <v>26</v>
      </c>
    </row>
    <row r="11" spans="3:12" ht="19.899999999999999" customHeight="1" x14ac:dyDescent="0.3">
      <c r="D11" s="14" t="s">
        <v>1609</v>
      </c>
      <c r="E11" s="15"/>
      <c r="F11" s="16" t="s">
        <v>248</v>
      </c>
      <c r="G11" s="17"/>
      <c r="H11" s="16" t="s">
        <v>2211</v>
      </c>
      <c r="K11" s="16" t="s">
        <v>61</v>
      </c>
    </row>
    <row r="12" spans="3:12" ht="19.899999999999999" customHeight="1" x14ac:dyDescent="0.3">
      <c r="D12" s="26" t="s">
        <v>1610</v>
      </c>
      <c r="E12" s="15"/>
      <c r="F12" s="16" t="s">
        <v>2212</v>
      </c>
      <c r="G12" s="17"/>
      <c r="H12" s="16"/>
      <c r="K12" s="16" t="s">
        <v>239</v>
      </c>
    </row>
    <row r="13" spans="3:12" ht="19.899999999999999" customHeight="1" x14ac:dyDescent="0.3">
      <c r="D13" s="14" t="s">
        <v>1612</v>
      </c>
      <c r="E13" s="15"/>
      <c r="F13" s="16" t="s">
        <v>23</v>
      </c>
      <c r="G13" s="17"/>
      <c r="H13" s="16"/>
      <c r="K13" s="16" t="s">
        <v>68</v>
      </c>
      <c r="L13"/>
    </row>
    <row r="14" spans="3:12" ht="19.899999999999999" customHeight="1" x14ac:dyDescent="0.3">
      <c r="D14" s="26" t="s">
        <v>1613</v>
      </c>
      <c r="E14" s="25"/>
      <c r="F14" s="16" t="s">
        <v>2213</v>
      </c>
      <c r="G14" s="17"/>
      <c r="H14" s="16"/>
      <c r="K14" s="16" t="s">
        <v>19</v>
      </c>
      <c r="L14"/>
    </row>
    <row r="15" spans="3:12" ht="19.899999999999999" customHeight="1" x14ac:dyDescent="0.3">
      <c r="D15" s="14" t="s">
        <v>1614</v>
      </c>
      <c r="E15" s="15"/>
      <c r="F15" s="16" t="s">
        <v>1616</v>
      </c>
      <c r="G15" s="17"/>
      <c r="H15" s="16"/>
      <c r="K15" s="16" t="s">
        <v>246</v>
      </c>
      <c r="L15"/>
    </row>
    <row r="16" spans="3:12" ht="19.899999999999999" customHeight="1" x14ac:dyDescent="0.3">
      <c r="D16" s="14" t="s">
        <v>1615</v>
      </c>
      <c r="E16" s="15"/>
      <c r="F16" s="16" t="s">
        <v>49</v>
      </c>
      <c r="G16" s="17"/>
      <c r="H16" s="16"/>
      <c r="K16" s="16" t="s">
        <v>111</v>
      </c>
      <c r="L16"/>
    </row>
    <row r="17" spans="4:12" ht="19.899999999999999" customHeight="1" x14ac:dyDescent="0.3">
      <c r="D17" s="14" t="s">
        <v>1617</v>
      </c>
      <c r="E17" s="15"/>
      <c r="F17" s="16" t="s">
        <v>239</v>
      </c>
      <c r="G17" s="1"/>
      <c r="H17" s="16"/>
      <c r="K17" s="16" t="s">
        <v>210</v>
      </c>
      <c r="L17"/>
    </row>
    <row r="18" spans="4:12" ht="19.899999999999999" customHeight="1" x14ac:dyDescent="0.3">
      <c r="D18" s="14" t="s">
        <v>2214</v>
      </c>
      <c r="E18" s="15"/>
      <c r="F18" s="16" t="s">
        <v>2215</v>
      </c>
      <c r="G18" s="17"/>
      <c r="H18" s="16"/>
      <c r="K18" s="16" t="s">
        <v>174</v>
      </c>
      <c r="L18"/>
    </row>
    <row r="19" spans="4:12" ht="19.899999999999999" customHeight="1" x14ac:dyDescent="0.3">
      <c r="D19" s="14" t="s">
        <v>1618</v>
      </c>
      <c r="E19" s="15"/>
      <c r="F19" s="16" t="s">
        <v>119</v>
      </c>
      <c r="G19" s="17"/>
      <c r="H19" s="16"/>
      <c r="K19" s="16" t="s">
        <v>120</v>
      </c>
      <c r="L19"/>
    </row>
    <row r="20" spans="4:12" ht="19.899999999999999" customHeight="1" x14ac:dyDescent="0.3">
      <c r="D20" s="14" t="s">
        <v>1619</v>
      </c>
      <c r="E20" s="15"/>
      <c r="F20" s="16" t="s">
        <v>2209</v>
      </c>
      <c r="G20" s="17"/>
      <c r="H20" s="16"/>
      <c r="K20" s="16" t="s">
        <v>119</v>
      </c>
      <c r="L20"/>
    </row>
    <row r="21" spans="4:12" ht="19.899999999999999" customHeight="1" x14ac:dyDescent="0.3">
      <c r="D21" s="14" t="s">
        <v>1620</v>
      </c>
      <c r="E21" s="25"/>
      <c r="F21" s="16" t="s">
        <v>2216</v>
      </c>
      <c r="G21" s="17"/>
      <c r="H21" s="16"/>
      <c r="K21" s="16" t="s">
        <v>663</v>
      </c>
      <c r="L21"/>
    </row>
    <row r="22" spans="4:12" ht="19.899999999999999" customHeight="1" x14ac:dyDescent="0.3">
      <c r="D22" s="14" t="s">
        <v>1621</v>
      </c>
      <c r="E22" s="15"/>
      <c r="F22" s="16" t="s">
        <v>2217</v>
      </c>
      <c r="G22" s="17"/>
      <c r="H22" s="16"/>
      <c r="K22" s="16" t="s">
        <v>83</v>
      </c>
      <c r="L22"/>
    </row>
    <row r="23" spans="4:12" ht="19.899999999999999" customHeight="1" x14ac:dyDescent="0.3">
      <c r="D23" s="14" t="s">
        <v>1622</v>
      </c>
      <c r="E23" s="15"/>
      <c r="F23" s="19" t="s">
        <v>2218</v>
      </c>
      <c r="G23" s="17"/>
      <c r="H23" s="16"/>
      <c r="K23" s="16" t="s">
        <v>1677</v>
      </c>
      <c r="L23"/>
    </row>
    <row r="24" spans="4:12" ht="19.899999999999999" customHeight="1" x14ac:dyDescent="0.3">
      <c r="D24" s="14" t="s">
        <v>1623</v>
      </c>
      <c r="E24" s="15"/>
      <c r="F24" s="19" t="s">
        <v>1624</v>
      </c>
      <c r="G24" s="17"/>
      <c r="H24" s="16"/>
      <c r="K24" s="16" t="s">
        <v>1685</v>
      </c>
      <c r="L24"/>
    </row>
    <row r="25" spans="4:12" ht="19.899999999999999" customHeight="1" x14ac:dyDescent="0.3">
      <c r="D25" s="14" t="s">
        <v>1625</v>
      </c>
      <c r="E25" s="15"/>
      <c r="F25" s="19" t="s">
        <v>1626</v>
      </c>
      <c r="G25" s="17"/>
      <c r="H25" s="16"/>
      <c r="K25" s="16" t="s">
        <v>284</v>
      </c>
      <c r="L25"/>
    </row>
    <row r="26" spans="4:12" ht="19.899999999999999" customHeight="1" x14ac:dyDescent="0.3">
      <c r="D26" s="14" t="s">
        <v>1627</v>
      </c>
      <c r="E26" s="15"/>
      <c r="F26" s="19" t="s">
        <v>1628</v>
      </c>
      <c r="G26" s="17"/>
      <c r="H26" s="16"/>
      <c r="K26" s="16" t="s">
        <v>63</v>
      </c>
      <c r="L26"/>
    </row>
    <row r="27" spans="4:12" ht="19.899999999999999" customHeight="1" x14ac:dyDescent="0.3">
      <c r="D27" s="14" t="s">
        <v>1629</v>
      </c>
      <c r="E27" s="15"/>
      <c r="F27" s="19" t="s">
        <v>1630</v>
      </c>
      <c r="G27" s="17"/>
      <c r="H27" s="16"/>
      <c r="K27" s="16" t="s">
        <v>248</v>
      </c>
      <c r="L27"/>
    </row>
    <row r="28" spans="4:12" ht="19.899999999999999" customHeight="1" x14ac:dyDescent="0.3">
      <c r="D28" s="14" t="s">
        <v>1631</v>
      </c>
      <c r="E28" s="15"/>
      <c r="F28" s="19" t="s">
        <v>2219</v>
      </c>
      <c r="G28" s="17"/>
      <c r="H28" s="16"/>
      <c r="K28" s="16" t="s">
        <v>448</v>
      </c>
      <c r="L28"/>
    </row>
    <row r="29" spans="4:12" ht="19.899999999999999" customHeight="1" x14ac:dyDescent="0.3">
      <c r="D29" s="14" t="s">
        <v>1632</v>
      </c>
      <c r="E29" s="15"/>
      <c r="F29" s="16"/>
      <c r="G29" s="17"/>
      <c r="H29" s="16"/>
      <c r="K29" s="16" t="s">
        <v>537</v>
      </c>
      <c r="L29"/>
    </row>
    <row r="30" spans="4:12" ht="19.899999999999999" customHeight="1" x14ac:dyDescent="0.3">
      <c r="D30" s="14" t="s">
        <v>1633</v>
      </c>
      <c r="E30" s="25"/>
      <c r="F30" s="16"/>
      <c r="G30" s="17"/>
      <c r="H30" s="16"/>
      <c r="K30" s="16" t="s">
        <v>542</v>
      </c>
      <c r="L30"/>
    </row>
    <row r="31" spans="4:12" ht="19.899999999999999" customHeight="1" x14ac:dyDescent="0.3">
      <c r="D31" s="27" t="s">
        <v>1611</v>
      </c>
      <c r="E31" s="15"/>
      <c r="F31" s="16"/>
      <c r="G31" s="17"/>
      <c r="H31" s="16"/>
      <c r="K31" s="16" t="s">
        <v>595</v>
      </c>
      <c r="L31"/>
    </row>
    <row r="32" spans="4:12" ht="19.899999999999999" customHeight="1" x14ac:dyDescent="0.3">
      <c r="D32" s="14"/>
      <c r="E32" s="15"/>
      <c r="F32" s="16"/>
      <c r="G32" s="17"/>
      <c r="H32" s="16"/>
      <c r="K32" s="16" t="s">
        <v>1810</v>
      </c>
      <c r="L32"/>
    </row>
    <row r="33" spans="4:12" ht="19.899999999999999" customHeight="1" x14ac:dyDescent="0.3">
      <c r="D33" s="20"/>
      <c r="E33" s="21"/>
      <c r="F33" s="22"/>
      <c r="G33" s="23"/>
      <c r="H33" s="24"/>
      <c r="K33" s="16" t="s">
        <v>1613</v>
      </c>
      <c r="L33"/>
    </row>
    <row r="34" spans="4:12" ht="19.899999999999999" customHeight="1" x14ac:dyDescent="0.3">
      <c r="K34" s="16" t="s">
        <v>1855</v>
      </c>
      <c r="L34"/>
    </row>
    <row r="35" spans="4:12" ht="19.899999999999999" customHeight="1" x14ac:dyDescent="0.3">
      <c r="K35" s="16" t="s">
        <v>818</v>
      </c>
      <c r="L35"/>
    </row>
    <row r="36" spans="4:12" ht="19.899999999999999" customHeight="1" x14ac:dyDescent="0.3">
      <c r="K36" s="16" t="s">
        <v>914</v>
      </c>
      <c r="L36"/>
    </row>
    <row r="37" spans="4:12" ht="19.899999999999999" customHeight="1" x14ac:dyDescent="0.3">
      <c r="K37" s="16" t="s">
        <v>977</v>
      </c>
      <c r="L37"/>
    </row>
    <row r="38" spans="4:12" ht="19.899999999999999" customHeight="1" x14ac:dyDescent="0.3">
      <c r="K38" s="16" t="s">
        <v>889</v>
      </c>
      <c r="L38"/>
    </row>
    <row r="39" spans="4:12" ht="19.899999999999999" customHeight="1" x14ac:dyDescent="0.3">
      <c r="K39" s="16" t="s">
        <v>1982</v>
      </c>
      <c r="L39"/>
    </row>
    <row r="40" spans="4:12" ht="19.899999999999999" customHeight="1" x14ac:dyDescent="0.3">
      <c r="K40" s="16" t="s">
        <v>1199</v>
      </c>
      <c r="L40"/>
    </row>
    <row r="41" spans="4:12" ht="19.899999999999999" customHeight="1" x14ac:dyDescent="0.3">
      <c r="K41" s="16" t="s">
        <v>424</v>
      </c>
      <c r="L41"/>
    </row>
    <row r="42" spans="4:12" ht="19.899999999999999" customHeight="1" x14ac:dyDescent="0.3">
      <c r="K42" s="16" t="s">
        <v>1292</v>
      </c>
      <c r="L42"/>
    </row>
    <row r="43" spans="4:12" ht="19.899999999999999" customHeight="1" x14ac:dyDescent="0.3">
      <c r="K43" s="16" t="s">
        <v>1324</v>
      </c>
      <c r="L43"/>
    </row>
    <row r="44" spans="4:12" ht="19.899999999999999" customHeight="1" x14ac:dyDescent="0.3">
      <c r="K44" s="16" t="s">
        <v>1331</v>
      </c>
      <c r="L44"/>
    </row>
    <row r="45" spans="4:12" ht="19.899999999999999" customHeight="1" x14ac:dyDescent="0.3">
      <c r="K45" s="16" t="s">
        <v>1339</v>
      </c>
      <c r="L45"/>
    </row>
    <row r="46" spans="4:12" ht="19.899999999999999" customHeight="1" x14ac:dyDescent="0.3">
      <c r="K46" s="16" t="s">
        <v>1346</v>
      </c>
      <c r="L46"/>
    </row>
    <row r="47" spans="4:12" ht="19.899999999999999" customHeight="1" x14ac:dyDescent="0.3">
      <c r="K47" s="16" t="s">
        <v>1349</v>
      </c>
      <c r="L47"/>
    </row>
    <row r="48" spans="4:12" ht="19.899999999999999" customHeight="1" x14ac:dyDescent="0.3">
      <c r="K48" s="16" t="s">
        <v>1367</v>
      </c>
      <c r="L48"/>
    </row>
    <row r="49" spans="11:12" ht="19.899999999999999" customHeight="1" x14ac:dyDescent="0.3">
      <c r="K49" s="16" t="s">
        <v>1371</v>
      </c>
      <c r="L49"/>
    </row>
    <row r="50" spans="11:12" ht="19.899999999999999" customHeight="1" x14ac:dyDescent="0.3">
      <c r="K50" s="16" t="s">
        <v>1203</v>
      </c>
      <c r="L50"/>
    </row>
    <row r="51" spans="11:12" ht="19.899999999999999" customHeight="1" x14ac:dyDescent="0.3">
      <c r="K51" s="16" t="s">
        <v>1378</v>
      </c>
      <c r="L51"/>
    </row>
    <row r="52" spans="11:12" ht="19.899999999999999" customHeight="1" x14ac:dyDescent="0.3">
      <c r="K52" s="16" t="s">
        <v>1379</v>
      </c>
      <c r="L52"/>
    </row>
    <row r="53" spans="11:12" ht="19.899999999999999" customHeight="1" x14ac:dyDescent="0.3">
      <c r="K53" s="16" t="s">
        <v>1377</v>
      </c>
      <c r="L53"/>
    </row>
    <row r="54" spans="11:12" ht="19.899999999999999" customHeight="1" x14ac:dyDescent="0.3">
      <c r="K54" s="16" t="s">
        <v>1558</v>
      </c>
      <c r="L54"/>
    </row>
    <row r="55" spans="11:12" ht="19.899999999999999" customHeight="1" x14ac:dyDescent="0.3">
      <c r="K55" s="16" t="s">
        <v>1568</v>
      </c>
      <c r="L55"/>
    </row>
    <row r="56" spans="11:12" ht="19.899999999999999" customHeight="1" x14ac:dyDescent="0.3">
      <c r="K56"/>
      <c r="L56"/>
    </row>
    <row r="57" spans="11:12" ht="19.899999999999999" customHeight="1" x14ac:dyDescent="0.3">
      <c r="K57"/>
      <c r="L57"/>
    </row>
    <row r="58" spans="11:12" ht="19.899999999999999" customHeight="1" x14ac:dyDescent="0.3">
      <c r="K58"/>
      <c r="L58"/>
    </row>
    <row r="59" spans="11:12" ht="19.899999999999999" customHeight="1" x14ac:dyDescent="0.3">
      <c r="K59"/>
      <c r="L59"/>
    </row>
    <row r="60" spans="11:12" ht="19.899999999999999" customHeight="1" x14ac:dyDescent="0.3">
      <c r="K60"/>
      <c r="L60"/>
    </row>
    <row r="61" spans="11:12" ht="19.899999999999999" customHeight="1" x14ac:dyDescent="0.3">
      <c r="K61"/>
      <c r="L61"/>
    </row>
    <row r="62" spans="11:12" ht="19.899999999999999" customHeight="1" x14ac:dyDescent="0.3">
      <c r="K62"/>
      <c r="L62"/>
    </row>
    <row r="63" spans="11:12" ht="19.899999999999999" customHeight="1" x14ac:dyDescent="0.3">
      <c r="K63"/>
      <c r="L63"/>
    </row>
    <row r="64" spans="11:12" ht="19.899999999999999" customHeight="1" x14ac:dyDescent="0.3">
      <c r="K64"/>
      <c r="L64"/>
    </row>
    <row r="65" spans="11:12" ht="19.899999999999999" customHeight="1" x14ac:dyDescent="0.3">
      <c r="K65"/>
      <c r="L65"/>
    </row>
    <row r="66" spans="11:12" ht="19.899999999999999" customHeight="1" x14ac:dyDescent="0.3">
      <c r="K66"/>
      <c r="L66"/>
    </row>
    <row r="67" spans="11:12" ht="19.899999999999999" customHeight="1" x14ac:dyDescent="0.3">
      <c r="K67"/>
      <c r="L67"/>
    </row>
    <row r="68" spans="11:12" ht="19.899999999999999" customHeight="1" x14ac:dyDescent="0.3">
      <c r="K68"/>
      <c r="L68"/>
    </row>
    <row r="69" spans="11:12" ht="19.899999999999999" customHeight="1" x14ac:dyDescent="0.3">
      <c r="K69"/>
      <c r="L69"/>
    </row>
    <row r="70" spans="11:12" ht="19.899999999999999" customHeight="1" x14ac:dyDescent="0.3">
      <c r="K70"/>
      <c r="L70"/>
    </row>
    <row r="71" spans="11:12" ht="19.899999999999999" customHeight="1" x14ac:dyDescent="0.3">
      <c r="K71"/>
      <c r="L71"/>
    </row>
    <row r="72" spans="11:12" ht="19.899999999999999" customHeight="1" x14ac:dyDescent="0.3">
      <c r="K72"/>
      <c r="L72"/>
    </row>
    <row r="73" spans="11:12" ht="19.899999999999999" customHeight="1" x14ac:dyDescent="0.3">
      <c r="K73"/>
      <c r="L73"/>
    </row>
    <row r="74" spans="11:12" ht="19.899999999999999" customHeight="1" x14ac:dyDescent="0.3">
      <c r="K74"/>
      <c r="L74"/>
    </row>
    <row r="75" spans="11:12" ht="19.899999999999999" customHeight="1" x14ac:dyDescent="0.3">
      <c r="K75"/>
      <c r="L75"/>
    </row>
    <row r="76" spans="11:12" ht="19.899999999999999" customHeight="1" x14ac:dyDescent="0.3">
      <c r="K76"/>
      <c r="L76"/>
    </row>
    <row r="77" spans="11:12" ht="19.899999999999999" customHeight="1" x14ac:dyDescent="0.3">
      <c r="K77"/>
      <c r="L77"/>
    </row>
    <row r="78" spans="11:12" ht="19.899999999999999" customHeight="1" x14ac:dyDescent="0.3">
      <c r="K78"/>
      <c r="L78"/>
    </row>
    <row r="79" spans="11:12" ht="19.899999999999999" customHeight="1" x14ac:dyDescent="0.3">
      <c r="K79"/>
    </row>
    <row r="80" spans="11:12" ht="19.899999999999999" customHeight="1" x14ac:dyDescent="0.3">
      <c r="K80"/>
    </row>
    <row r="81" spans="11:11" ht="19.899999999999999" customHeight="1" x14ac:dyDescent="0.3">
      <c r="K81"/>
    </row>
    <row r="82" spans="11:11" ht="19.899999999999999" customHeight="1" x14ac:dyDescent="0.3">
      <c r="K82"/>
    </row>
    <row r="83" spans="11:11" ht="19.899999999999999" customHeight="1" x14ac:dyDescent="0.3">
      <c r="K83"/>
    </row>
    <row r="84" spans="11:11" ht="19.899999999999999" customHeight="1" x14ac:dyDescent="0.3">
      <c r="K84"/>
    </row>
    <row r="85" spans="11:11" ht="19.899999999999999" customHeight="1" x14ac:dyDescent="0.3">
      <c r="K85"/>
    </row>
    <row r="86" spans="11:11" ht="19.899999999999999" customHeight="1" x14ac:dyDescent="0.3">
      <c r="K86"/>
    </row>
    <row r="87" spans="11:11" ht="19.899999999999999" customHeight="1" x14ac:dyDescent="0.3">
      <c r="K87"/>
    </row>
    <row r="88" spans="11:11" ht="19.899999999999999" customHeight="1" x14ac:dyDescent="0.3">
      <c r="K88"/>
    </row>
    <row r="89" spans="11:11" ht="19.899999999999999" customHeight="1" x14ac:dyDescent="0.3">
      <c r="K89"/>
    </row>
    <row r="90" spans="11:11" ht="19.899999999999999" customHeight="1" x14ac:dyDescent="0.3">
      <c r="K90"/>
    </row>
    <row r="91" spans="11:11" ht="19.899999999999999" customHeight="1" x14ac:dyDescent="0.3">
      <c r="K91"/>
    </row>
    <row r="92" spans="11:11" ht="19.899999999999999" customHeight="1" x14ac:dyDescent="0.3">
      <c r="K92"/>
    </row>
    <row r="93" spans="11:11" ht="19.899999999999999" customHeight="1" x14ac:dyDescent="0.3">
      <c r="K93"/>
    </row>
    <row r="94" spans="11:11" ht="19.899999999999999" customHeight="1" x14ac:dyDescent="0.3">
      <c r="K94"/>
    </row>
    <row r="95" spans="11:11" ht="19.899999999999999" customHeight="1" x14ac:dyDescent="0.3">
      <c r="K95"/>
    </row>
    <row r="96" spans="11:11" ht="19.899999999999999" customHeight="1" x14ac:dyDescent="0.3">
      <c r="K96"/>
    </row>
    <row r="97" spans="11:11" ht="19.899999999999999" customHeight="1" x14ac:dyDescent="0.3">
      <c r="K97"/>
    </row>
    <row r="98" spans="11:11" ht="19.899999999999999" customHeight="1" x14ac:dyDescent="0.3">
      <c r="K98"/>
    </row>
    <row r="99" spans="11:11" ht="19.899999999999999" customHeight="1" x14ac:dyDescent="0.3">
      <c r="K99"/>
    </row>
    <row r="100" spans="11:11" ht="19.899999999999999" customHeight="1" x14ac:dyDescent="0.3">
      <c r="K100"/>
    </row>
    <row r="101" spans="11:11" ht="19.899999999999999" customHeight="1" x14ac:dyDescent="0.3">
      <c r="K101"/>
    </row>
    <row r="102" spans="11:11" ht="19.899999999999999" customHeight="1" x14ac:dyDescent="0.3">
      <c r="K102"/>
    </row>
    <row r="103" spans="11:11" ht="19.899999999999999" customHeight="1" x14ac:dyDescent="0.3">
      <c r="K103"/>
    </row>
    <row r="104" spans="11:11" ht="19.899999999999999" customHeight="1" x14ac:dyDescent="0.3">
      <c r="K104"/>
    </row>
    <row r="105" spans="11:11" ht="19.899999999999999" customHeight="1" x14ac:dyDescent="0.3">
      <c r="K105"/>
    </row>
    <row r="106" spans="11:11" ht="19.899999999999999" customHeight="1" x14ac:dyDescent="0.3">
      <c r="K106"/>
    </row>
    <row r="107" spans="11:11" ht="19.899999999999999" customHeight="1" x14ac:dyDescent="0.3">
      <c r="K107"/>
    </row>
    <row r="108" spans="11:11" ht="19.899999999999999" customHeight="1" x14ac:dyDescent="0.3">
      <c r="K108"/>
    </row>
    <row r="109" spans="11:11" ht="19.899999999999999" customHeight="1" x14ac:dyDescent="0.3">
      <c r="K109"/>
    </row>
    <row r="110" spans="11:11" ht="19.899999999999999" customHeight="1" x14ac:dyDescent="0.3">
      <c r="K110"/>
    </row>
    <row r="111" spans="11:11" ht="19.899999999999999" customHeight="1" x14ac:dyDescent="0.3">
      <c r="K111"/>
    </row>
    <row r="112" spans="11:11" ht="19.899999999999999" customHeight="1" x14ac:dyDescent="0.3">
      <c r="K112"/>
    </row>
    <row r="113" spans="11:11" ht="19.899999999999999" customHeight="1" x14ac:dyDescent="0.3">
      <c r="K113"/>
    </row>
    <row r="114" spans="11:11" ht="19.899999999999999" customHeight="1" x14ac:dyDescent="0.3">
      <c r="K114"/>
    </row>
    <row r="115" spans="11:11" ht="19.899999999999999" customHeight="1" x14ac:dyDescent="0.3">
      <c r="K115"/>
    </row>
    <row r="116" spans="11:11" ht="19.899999999999999" customHeight="1" x14ac:dyDescent="0.3">
      <c r="K116"/>
    </row>
    <row r="117" spans="11:11" ht="19.899999999999999" customHeight="1" x14ac:dyDescent="0.3">
      <c r="K117"/>
    </row>
    <row r="118" spans="11:11" ht="19.899999999999999" customHeight="1" x14ac:dyDescent="0.3">
      <c r="K118"/>
    </row>
    <row r="119" spans="11:11" ht="19.899999999999999" customHeight="1" x14ac:dyDescent="0.3">
      <c r="K119"/>
    </row>
    <row r="120" spans="11:11" ht="19.899999999999999" customHeight="1" x14ac:dyDescent="0.3">
      <c r="K120"/>
    </row>
    <row r="121" spans="11:11" ht="19.899999999999999" customHeight="1" x14ac:dyDescent="0.3">
      <c r="K121"/>
    </row>
    <row r="122" spans="11:11" ht="19.899999999999999" customHeight="1" x14ac:dyDescent="0.3">
      <c r="K122"/>
    </row>
    <row r="123" spans="11:11" ht="19.899999999999999" customHeight="1" x14ac:dyDescent="0.3">
      <c r="K123"/>
    </row>
    <row r="124" spans="11:11" ht="19.899999999999999" customHeight="1" x14ac:dyDescent="0.3">
      <c r="K124"/>
    </row>
    <row r="125" spans="11:11" ht="19.899999999999999" customHeight="1" x14ac:dyDescent="0.3">
      <c r="K125"/>
    </row>
    <row r="126" spans="11:11" ht="19.899999999999999" customHeight="1" x14ac:dyDescent="0.3">
      <c r="K126"/>
    </row>
    <row r="127" spans="11:11" ht="19.899999999999999" customHeight="1" x14ac:dyDescent="0.3">
      <c r="K127"/>
    </row>
    <row r="128" spans="11:11" ht="19.899999999999999" customHeight="1" x14ac:dyDescent="0.3">
      <c r="K128"/>
    </row>
    <row r="129" spans="11:11" ht="19.899999999999999" customHeight="1" x14ac:dyDescent="0.3">
      <c r="K129"/>
    </row>
    <row r="130" spans="11:11" ht="19.899999999999999" customHeight="1" x14ac:dyDescent="0.3">
      <c r="K130"/>
    </row>
    <row r="131" spans="11:11" ht="19.899999999999999" customHeight="1" x14ac:dyDescent="0.3">
      <c r="K131"/>
    </row>
    <row r="132" spans="11:11" ht="19.899999999999999" customHeight="1" x14ac:dyDescent="0.3">
      <c r="K132"/>
    </row>
    <row r="133" spans="11:11" ht="19.899999999999999" customHeight="1" x14ac:dyDescent="0.3">
      <c r="K133"/>
    </row>
    <row r="134" spans="11:11" ht="19.899999999999999" customHeight="1" x14ac:dyDescent="0.3">
      <c r="K134"/>
    </row>
    <row r="135" spans="11:11" ht="19.899999999999999" customHeight="1" x14ac:dyDescent="0.3">
      <c r="K135"/>
    </row>
    <row r="136" spans="11:11" ht="19.899999999999999" customHeight="1" x14ac:dyDescent="0.3">
      <c r="K136"/>
    </row>
    <row r="137" spans="11:11" ht="19.899999999999999" customHeight="1" x14ac:dyDescent="0.3">
      <c r="K137"/>
    </row>
    <row r="138" spans="11:11" ht="19.899999999999999" customHeight="1" x14ac:dyDescent="0.3">
      <c r="K138"/>
    </row>
    <row r="139" spans="11:11" ht="19.899999999999999" customHeight="1" x14ac:dyDescent="0.3">
      <c r="K139"/>
    </row>
    <row r="140" spans="11:11" ht="19.899999999999999" customHeight="1" x14ac:dyDescent="0.3">
      <c r="K140"/>
    </row>
    <row r="141" spans="11:11" ht="19.899999999999999" customHeight="1" x14ac:dyDescent="0.3">
      <c r="K141"/>
    </row>
    <row r="142" spans="11:11" ht="19.899999999999999" customHeight="1" x14ac:dyDescent="0.3">
      <c r="K142"/>
    </row>
    <row r="143" spans="11:11" ht="19.899999999999999" customHeight="1" x14ac:dyDescent="0.3">
      <c r="K143"/>
    </row>
    <row r="144" spans="11:11" ht="19.899999999999999" customHeight="1" x14ac:dyDescent="0.3">
      <c r="K144"/>
    </row>
    <row r="145" spans="11:11" ht="19.899999999999999" customHeight="1" x14ac:dyDescent="0.3">
      <c r="K145"/>
    </row>
    <row r="146" spans="11:11" ht="19.899999999999999" customHeight="1" x14ac:dyDescent="0.3">
      <c r="K146"/>
    </row>
    <row r="147" spans="11:11" ht="19.899999999999999" customHeight="1" x14ac:dyDescent="0.3">
      <c r="K147"/>
    </row>
    <row r="148" spans="11:11" ht="19.899999999999999" customHeight="1" x14ac:dyDescent="0.3">
      <c r="K148"/>
    </row>
    <row r="149" spans="11:11" ht="19.899999999999999" customHeight="1" x14ac:dyDescent="0.3">
      <c r="K149"/>
    </row>
    <row r="150" spans="11:11" ht="19.899999999999999" customHeight="1" x14ac:dyDescent="0.3">
      <c r="K150"/>
    </row>
    <row r="151" spans="11:11" ht="19.899999999999999" customHeight="1" x14ac:dyDescent="0.3">
      <c r="K151"/>
    </row>
    <row r="152" spans="11:11" ht="19.899999999999999" customHeight="1" x14ac:dyDescent="0.3">
      <c r="K152"/>
    </row>
    <row r="153" spans="11:11" ht="19.899999999999999" customHeight="1" x14ac:dyDescent="0.3">
      <c r="K153"/>
    </row>
    <row r="154" spans="11:11" ht="19.899999999999999" customHeight="1" x14ac:dyDescent="0.3">
      <c r="K154"/>
    </row>
    <row r="155" spans="11:11" ht="19.899999999999999" customHeight="1" x14ac:dyDescent="0.3">
      <c r="K155"/>
    </row>
    <row r="156" spans="11:11" ht="19.899999999999999" customHeight="1" x14ac:dyDescent="0.3">
      <c r="K156"/>
    </row>
    <row r="157" spans="11:11" ht="19.899999999999999" customHeight="1" x14ac:dyDescent="0.3">
      <c r="K157"/>
    </row>
    <row r="158" spans="11:11" ht="19.899999999999999" customHeight="1" x14ac:dyDescent="0.3">
      <c r="K158"/>
    </row>
    <row r="159" spans="11:11" ht="19.899999999999999" customHeight="1" x14ac:dyDescent="0.3">
      <c r="K159"/>
    </row>
    <row r="160" spans="11:11" ht="19.899999999999999" customHeight="1" x14ac:dyDescent="0.3">
      <c r="K160"/>
    </row>
    <row r="161" spans="11:11" ht="19.899999999999999" customHeight="1" x14ac:dyDescent="0.3">
      <c r="K161"/>
    </row>
    <row r="162" spans="11:11" ht="19.899999999999999" customHeight="1" x14ac:dyDescent="0.3">
      <c r="K162"/>
    </row>
    <row r="163" spans="11:11" ht="19.899999999999999" customHeight="1" x14ac:dyDescent="0.3">
      <c r="K163"/>
    </row>
    <row r="164" spans="11:11" ht="19.899999999999999" customHeight="1" x14ac:dyDescent="0.3">
      <c r="K164"/>
    </row>
    <row r="165" spans="11:11" ht="19.899999999999999" customHeight="1" x14ac:dyDescent="0.3">
      <c r="K165"/>
    </row>
    <row r="166" spans="11:11" ht="19.899999999999999" customHeight="1" x14ac:dyDescent="0.3">
      <c r="K166"/>
    </row>
    <row r="167" spans="11:11" ht="19.899999999999999" customHeight="1" x14ac:dyDescent="0.3">
      <c r="K167"/>
    </row>
    <row r="168" spans="11:11" ht="19.899999999999999" customHeight="1" x14ac:dyDescent="0.3">
      <c r="K168"/>
    </row>
    <row r="169" spans="11:11" ht="19.899999999999999" customHeight="1" x14ac:dyDescent="0.3">
      <c r="K169"/>
    </row>
    <row r="170" spans="11:11" ht="19.899999999999999" customHeight="1" x14ac:dyDescent="0.3">
      <c r="K170"/>
    </row>
    <row r="171" spans="11:11" ht="19.899999999999999" customHeight="1" x14ac:dyDescent="0.3">
      <c r="K171"/>
    </row>
    <row r="172" spans="11:11" ht="19.899999999999999" customHeight="1" x14ac:dyDescent="0.3">
      <c r="K172"/>
    </row>
    <row r="173" spans="11:11" ht="19.899999999999999" customHeight="1" x14ac:dyDescent="0.3">
      <c r="K173"/>
    </row>
    <row r="174" spans="11:11" ht="19.899999999999999" customHeight="1" x14ac:dyDescent="0.3">
      <c r="K174"/>
    </row>
    <row r="175" spans="11:11" ht="19.899999999999999" customHeight="1" x14ac:dyDescent="0.3">
      <c r="K175"/>
    </row>
    <row r="176" spans="11:11" ht="19.899999999999999" customHeight="1" x14ac:dyDescent="0.3">
      <c r="K176"/>
    </row>
    <row r="177" spans="11:11" ht="19.899999999999999" customHeight="1" x14ac:dyDescent="0.3">
      <c r="K177"/>
    </row>
    <row r="178" spans="11:11" ht="19.899999999999999" customHeight="1" x14ac:dyDescent="0.3">
      <c r="K178"/>
    </row>
    <row r="179" spans="11:11" ht="19.899999999999999" customHeight="1" x14ac:dyDescent="0.3">
      <c r="K179"/>
    </row>
    <row r="180" spans="11:11" ht="19.899999999999999" customHeight="1" x14ac:dyDescent="0.3">
      <c r="K180"/>
    </row>
    <row r="181" spans="11:11" ht="19.899999999999999" customHeight="1" x14ac:dyDescent="0.3">
      <c r="K181"/>
    </row>
    <row r="182" spans="11:11" ht="19.899999999999999" customHeight="1" x14ac:dyDescent="0.3">
      <c r="K182"/>
    </row>
    <row r="183" spans="11:11" ht="19.899999999999999" customHeight="1" x14ac:dyDescent="0.3">
      <c r="K183"/>
    </row>
    <row r="184" spans="11:11" ht="19.899999999999999" customHeight="1" x14ac:dyDescent="0.3">
      <c r="K184"/>
    </row>
    <row r="185" spans="11:11" ht="19.899999999999999" customHeight="1" x14ac:dyDescent="0.3">
      <c r="K185"/>
    </row>
    <row r="186" spans="11:11" ht="19.899999999999999" customHeight="1" x14ac:dyDescent="0.3">
      <c r="K186"/>
    </row>
    <row r="187" spans="11:11" ht="19.899999999999999" customHeight="1" x14ac:dyDescent="0.3">
      <c r="K187"/>
    </row>
    <row r="188" spans="11:11" ht="19.899999999999999" customHeight="1" x14ac:dyDescent="0.3">
      <c r="K188"/>
    </row>
    <row r="189" spans="11:11" ht="19.899999999999999" customHeight="1" x14ac:dyDescent="0.3">
      <c r="K189"/>
    </row>
    <row r="190" spans="11:11" ht="19.899999999999999" customHeight="1" x14ac:dyDescent="0.3">
      <c r="K190"/>
    </row>
    <row r="191" spans="11:11" ht="19.899999999999999" customHeight="1" x14ac:dyDescent="0.3">
      <c r="K191"/>
    </row>
    <row r="192" spans="11:11" ht="19.899999999999999" customHeight="1" x14ac:dyDescent="0.3">
      <c r="K192"/>
    </row>
    <row r="193" spans="11:11" ht="19.899999999999999" customHeight="1" x14ac:dyDescent="0.3">
      <c r="K193"/>
    </row>
    <row r="194" spans="11:11" ht="19.899999999999999" customHeight="1" x14ac:dyDescent="0.3">
      <c r="K194"/>
    </row>
    <row r="195" spans="11:11" ht="19.899999999999999" customHeight="1" x14ac:dyDescent="0.3">
      <c r="K195"/>
    </row>
    <row r="196" spans="11:11" ht="19.899999999999999" customHeight="1" x14ac:dyDescent="0.3">
      <c r="K196"/>
    </row>
    <row r="197" spans="11:11" ht="19.899999999999999" customHeight="1" x14ac:dyDescent="0.3">
      <c r="K197"/>
    </row>
    <row r="198" spans="11:11" ht="19.899999999999999" customHeight="1" x14ac:dyDescent="0.3">
      <c r="K198"/>
    </row>
    <row r="199" spans="11:11" ht="19.899999999999999" customHeight="1" x14ac:dyDescent="0.3">
      <c r="K199"/>
    </row>
    <row r="200" spans="11:11" ht="19.899999999999999" customHeight="1" x14ac:dyDescent="0.3">
      <c r="K200"/>
    </row>
    <row r="201" spans="11:11" ht="19.899999999999999" customHeight="1" x14ac:dyDescent="0.3">
      <c r="K201"/>
    </row>
    <row r="202" spans="11:11" ht="19.899999999999999" customHeight="1" x14ac:dyDescent="0.3">
      <c r="K202"/>
    </row>
    <row r="203" spans="11:11" ht="19.899999999999999" customHeight="1" x14ac:dyDescent="0.3">
      <c r="K203"/>
    </row>
    <row r="204" spans="11:11" ht="19.899999999999999" customHeight="1" x14ac:dyDescent="0.3">
      <c r="K204"/>
    </row>
    <row r="205" spans="11:11" ht="19.899999999999999" customHeight="1" x14ac:dyDescent="0.3">
      <c r="K205"/>
    </row>
    <row r="206" spans="11:11" ht="19.899999999999999" customHeight="1" x14ac:dyDescent="0.3">
      <c r="K206"/>
    </row>
    <row r="207" spans="11:11" ht="19.899999999999999" customHeight="1" x14ac:dyDescent="0.3">
      <c r="K207"/>
    </row>
    <row r="208" spans="11:11" ht="19.899999999999999" customHeight="1" x14ac:dyDescent="0.3">
      <c r="K208"/>
    </row>
    <row r="209" spans="11:11" ht="19.899999999999999" customHeight="1" x14ac:dyDescent="0.3">
      <c r="K209"/>
    </row>
    <row r="210" spans="11:11" ht="19.899999999999999" customHeight="1" x14ac:dyDescent="0.3">
      <c r="K210"/>
    </row>
    <row r="211" spans="11:11" ht="19.899999999999999" customHeight="1" x14ac:dyDescent="0.3">
      <c r="K211"/>
    </row>
    <row r="212" spans="11:11" ht="19.899999999999999" customHeight="1" x14ac:dyDescent="0.3">
      <c r="K212"/>
    </row>
    <row r="213" spans="11:11" ht="19.899999999999999" customHeight="1" x14ac:dyDescent="0.3">
      <c r="K213"/>
    </row>
    <row r="214" spans="11:11" ht="19.899999999999999" customHeight="1" x14ac:dyDescent="0.3">
      <c r="K214"/>
    </row>
    <row r="215" spans="11:11" ht="19.899999999999999" customHeight="1" x14ac:dyDescent="0.3">
      <c r="K215"/>
    </row>
    <row r="216" spans="11:11" ht="19.899999999999999" customHeight="1" x14ac:dyDescent="0.3">
      <c r="K216"/>
    </row>
    <row r="217" spans="11:11" ht="19.899999999999999" customHeight="1" x14ac:dyDescent="0.3">
      <c r="K217"/>
    </row>
    <row r="218" spans="11:11" ht="19.899999999999999" customHeight="1" x14ac:dyDescent="0.3">
      <c r="K218"/>
    </row>
    <row r="219" spans="11:11" ht="19.899999999999999" customHeight="1" x14ac:dyDescent="0.3">
      <c r="K219"/>
    </row>
    <row r="220" spans="11:11" ht="19.899999999999999" customHeight="1" x14ac:dyDescent="0.3">
      <c r="K220"/>
    </row>
    <row r="221" spans="11:11" ht="19.899999999999999" customHeight="1" x14ac:dyDescent="0.3">
      <c r="K221"/>
    </row>
    <row r="222" spans="11:11" ht="19.899999999999999" customHeight="1" x14ac:dyDescent="0.3">
      <c r="K222"/>
    </row>
    <row r="223" spans="11:11" ht="19.899999999999999" customHeight="1" x14ac:dyDescent="0.3">
      <c r="K223"/>
    </row>
    <row r="224" spans="11:11" ht="19.899999999999999" customHeight="1" x14ac:dyDescent="0.3">
      <c r="K224"/>
    </row>
    <row r="225" spans="11:11" ht="19.899999999999999" customHeight="1" x14ac:dyDescent="0.3">
      <c r="K225"/>
    </row>
    <row r="226" spans="11:11" ht="19.899999999999999" customHeight="1" x14ac:dyDescent="0.3">
      <c r="K226"/>
    </row>
    <row r="227" spans="11:11" ht="19.899999999999999" customHeight="1" x14ac:dyDescent="0.3">
      <c r="K227"/>
    </row>
    <row r="228" spans="11:11" ht="19.899999999999999" customHeight="1" x14ac:dyDescent="0.3">
      <c r="K228"/>
    </row>
    <row r="229" spans="11:11" ht="19.899999999999999" customHeight="1" x14ac:dyDescent="0.3">
      <c r="K229"/>
    </row>
    <row r="230" spans="11:11" ht="19.899999999999999" customHeight="1" x14ac:dyDescent="0.3">
      <c r="K230"/>
    </row>
    <row r="231" spans="11:11" ht="19.899999999999999" customHeight="1" x14ac:dyDescent="0.3">
      <c r="K231"/>
    </row>
    <row r="232" spans="11:11" ht="19.899999999999999" customHeight="1" x14ac:dyDescent="0.3">
      <c r="K232"/>
    </row>
    <row r="233" spans="11:11" ht="19.899999999999999" customHeight="1" x14ac:dyDescent="0.3">
      <c r="K233"/>
    </row>
    <row r="234" spans="11:11" ht="19.899999999999999" customHeight="1" x14ac:dyDescent="0.3">
      <c r="K234"/>
    </row>
    <row r="235" spans="11:11" ht="19.899999999999999" customHeight="1" x14ac:dyDescent="0.3">
      <c r="K235"/>
    </row>
    <row r="236" spans="11:11" ht="19.899999999999999" customHeight="1" x14ac:dyDescent="0.3">
      <c r="K236"/>
    </row>
    <row r="237" spans="11:11" ht="19.899999999999999" customHeight="1" x14ac:dyDescent="0.3">
      <c r="K237"/>
    </row>
    <row r="238" spans="11:11" ht="19.899999999999999" customHeight="1" x14ac:dyDescent="0.3">
      <c r="K238"/>
    </row>
    <row r="239" spans="11:11" ht="19.899999999999999" customHeight="1" x14ac:dyDescent="0.3">
      <c r="K239"/>
    </row>
    <row r="240" spans="11:11" ht="19.899999999999999" customHeight="1" x14ac:dyDescent="0.3">
      <c r="K240"/>
    </row>
    <row r="241" spans="11:11" ht="19.899999999999999" customHeight="1" x14ac:dyDescent="0.3">
      <c r="K241"/>
    </row>
    <row r="242" spans="11:11" ht="19.899999999999999" customHeight="1" x14ac:dyDescent="0.3">
      <c r="K242"/>
    </row>
    <row r="243" spans="11:11" ht="19.899999999999999" customHeight="1" x14ac:dyDescent="0.3">
      <c r="K243"/>
    </row>
    <row r="244" spans="11:11" ht="19.899999999999999" customHeight="1" x14ac:dyDescent="0.3">
      <c r="K244"/>
    </row>
    <row r="245" spans="11:11" ht="19.899999999999999" customHeight="1" x14ac:dyDescent="0.3">
      <c r="K245"/>
    </row>
    <row r="246" spans="11:11" ht="19.899999999999999" customHeight="1" x14ac:dyDescent="0.3">
      <c r="K246"/>
    </row>
    <row r="247" spans="11:11" ht="19.899999999999999" customHeight="1" x14ac:dyDescent="0.3">
      <c r="K247"/>
    </row>
    <row r="248" spans="11:11" ht="19.899999999999999" customHeight="1" x14ac:dyDescent="0.3">
      <c r="K248"/>
    </row>
    <row r="249" spans="11:11" ht="19.899999999999999" customHeight="1" x14ac:dyDescent="0.3">
      <c r="K249"/>
    </row>
    <row r="250" spans="11:11" ht="19.899999999999999" customHeight="1" x14ac:dyDescent="0.3">
      <c r="K250"/>
    </row>
    <row r="251" spans="11:11" ht="19.899999999999999" customHeight="1" x14ac:dyDescent="0.3">
      <c r="K251"/>
    </row>
    <row r="252" spans="11:11" ht="19.899999999999999" customHeight="1" x14ac:dyDescent="0.3">
      <c r="K252"/>
    </row>
    <row r="253" spans="11:11" ht="19.899999999999999" customHeight="1" x14ac:dyDescent="0.3">
      <c r="K253"/>
    </row>
    <row r="254" spans="11:11" ht="19.899999999999999" customHeight="1" x14ac:dyDescent="0.3">
      <c r="K254"/>
    </row>
    <row r="255" spans="11:11" ht="19.899999999999999" customHeight="1" x14ac:dyDescent="0.3">
      <c r="K255"/>
    </row>
    <row r="256" spans="11:11" ht="19.899999999999999" customHeight="1" x14ac:dyDescent="0.3">
      <c r="K256"/>
    </row>
    <row r="257" spans="11:11" ht="19.899999999999999" customHeight="1" x14ac:dyDescent="0.3">
      <c r="K257"/>
    </row>
    <row r="258" spans="11:11" ht="19.899999999999999" customHeight="1" x14ac:dyDescent="0.3">
      <c r="K258"/>
    </row>
    <row r="259" spans="11:11" ht="19.899999999999999" customHeight="1" x14ac:dyDescent="0.3">
      <c r="K259"/>
    </row>
    <row r="260" spans="11:11" ht="19.899999999999999" customHeight="1" x14ac:dyDescent="0.3">
      <c r="K260"/>
    </row>
    <row r="261" spans="11:11" ht="19.899999999999999" customHeight="1" x14ac:dyDescent="0.3">
      <c r="K261"/>
    </row>
    <row r="262" spans="11:11" ht="19.899999999999999" customHeight="1" x14ac:dyDescent="0.3">
      <c r="K262"/>
    </row>
    <row r="263" spans="11:11" ht="19.899999999999999" customHeight="1" x14ac:dyDescent="0.3">
      <c r="K263"/>
    </row>
    <row r="264" spans="11:11" ht="19.899999999999999" customHeight="1" x14ac:dyDescent="0.3">
      <c r="K264"/>
    </row>
    <row r="265" spans="11:11" ht="19.899999999999999" customHeight="1" x14ac:dyDescent="0.3">
      <c r="K265"/>
    </row>
    <row r="266" spans="11:11" ht="19.899999999999999" customHeight="1" x14ac:dyDescent="0.3">
      <c r="K266"/>
    </row>
    <row r="267" spans="11:11" ht="19.899999999999999" customHeight="1" x14ac:dyDescent="0.3">
      <c r="K267"/>
    </row>
    <row r="268" spans="11:11" ht="19.899999999999999" customHeight="1" x14ac:dyDescent="0.3">
      <c r="K268"/>
    </row>
    <row r="269" spans="11:11" ht="19.899999999999999" customHeight="1" x14ac:dyDescent="0.3">
      <c r="K269"/>
    </row>
    <row r="270" spans="11:11" ht="19.899999999999999" customHeight="1" x14ac:dyDescent="0.3">
      <c r="K270"/>
    </row>
    <row r="271" spans="11:11" ht="19.899999999999999" customHeight="1" x14ac:dyDescent="0.3">
      <c r="K271"/>
    </row>
    <row r="272" spans="11:11" ht="19.899999999999999" customHeight="1" x14ac:dyDescent="0.3">
      <c r="K272"/>
    </row>
    <row r="273" spans="11:11" ht="19.899999999999999" customHeight="1" x14ac:dyDescent="0.3">
      <c r="K273"/>
    </row>
    <row r="274" spans="11:11" ht="19.899999999999999" customHeight="1" x14ac:dyDescent="0.3">
      <c r="K274"/>
    </row>
    <row r="275" spans="11:11" ht="19.899999999999999" customHeight="1" x14ac:dyDescent="0.3">
      <c r="K275"/>
    </row>
    <row r="276" spans="11:11" ht="19.899999999999999" customHeight="1" x14ac:dyDescent="0.3">
      <c r="K276"/>
    </row>
    <row r="277" spans="11:11" ht="19.899999999999999" customHeight="1" x14ac:dyDescent="0.3">
      <c r="K277"/>
    </row>
    <row r="278" spans="11:11" ht="19.899999999999999" customHeight="1" x14ac:dyDescent="0.3">
      <c r="K278"/>
    </row>
    <row r="279" spans="11:11" ht="19.899999999999999" customHeight="1" x14ac:dyDescent="0.3">
      <c r="K279"/>
    </row>
    <row r="280" spans="11:11" ht="19.899999999999999" customHeight="1" x14ac:dyDescent="0.3">
      <c r="K280"/>
    </row>
    <row r="281" spans="11:11" ht="19.899999999999999" customHeight="1" x14ac:dyDescent="0.3">
      <c r="K281"/>
    </row>
    <row r="282" spans="11:11" ht="19.899999999999999" customHeight="1" x14ac:dyDescent="0.3">
      <c r="K282"/>
    </row>
    <row r="283" spans="11:11" ht="19.899999999999999" customHeight="1" x14ac:dyDescent="0.3">
      <c r="K283"/>
    </row>
    <row r="284" spans="11:11" ht="19.899999999999999" customHeight="1" x14ac:dyDescent="0.3">
      <c r="K284"/>
    </row>
    <row r="285" spans="11:11" ht="19.899999999999999" customHeight="1" x14ac:dyDescent="0.3">
      <c r="K285"/>
    </row>
    <row r="286" spans="11:11" ht="19.899999999999999" customHeight="1" x14ac:dyDescent="0.3">
      <c r="K286"/>
    </row>
    <row r="287" spans="11:11" ht="19.899999999999999" customHeight="1" x14ac:dyDescent="0.3">
      <c r="K287"/>
    </row>
    <row r="288" spans="11:11" ht="19.899999999999999" customHeight="1" x14ac:dyDescent="0.3">
      <c r="K288"/>
    </row>
    <row r="289" spans="11:11" ht="19.899999999999999" customHeight="1" x14ac:dyDescent="0.3">
      <c r="K289"/>
    </row>
    <row r="290" spans="11:11" ht="19.899999999999999" customHeight="1" x14ac:dyDescent="0.3">
      <c r="K290"/>
    </row>
    <row r="291" spans="11:11" ht="19.899999999999999" customHeight="1" x14ac:dyDescent="0.3">
      <c r="K291"/>
    </row>
    <row r="292" spans="11:11" ht="19.899999999999999" customHeight="1" x14ac:dyDescent="0.3">
      <c r="K292"/>
    </row>
    <row r="293" spans="11:11" ht="19.899999999999999" customHeight="1" x14ac:dyDescent="0.3">
      <c r="K293"/>
    </row>
    <row r="294" spans="11:11" ht="19.899999999999999" customHeight="1" x14ac:dyDescent="0.3">
      <c r="K294"/>
    </row>
    <row r="295" spans="11:11" ht="19.899999999999999" customHeight="1" x14ac:dyDescent="0.3">
      <c r="K295"/>
    </row>
    <row r="296" spans="11:11" ht="19.899999999999999" customHeight="1" x14ac:dyDescent="0.3">
      <c r="K296"/>
    </row>
    <row r="297" spans="11:11" ht="19.899999999999999" customHeight="1" x14ac:dyDescent="0.3">
      <c r="K297"/>
    </row>
    <row r="298" spans="11:11" ht="19.899999999999999" customHeight="1" x14ac:dyDescent="0.3">
      <c r="K298"/>
    </row>
    <row r="299" spans="11:11" ht="19.899999999999999" customHeight="1" x14ac:dyDescent="0.3">
      <c r="K299"/>
    </row>
    <row r="300" spans="11:11" ht="19.899999999999999" customHeight="1" x14ac:dyDescent="0.3">
      <c r="K300"/>
    </row>
    <row r="301" spans="11:11" ht="19.899999999999999" customHeight="1" x14ac:dyDescent="0.3">
      <c r="K301"/>
    </row>
    <row r="302" spans="11:11" ht="19.899999999999999" customHeight="1" x14ac:dyDescent="0.3">
      <c r="K302"/>
    </row>
    <row r="303" spans="11:11" ht="19.899999999999999" customHeight="1" x14ac:dyDescent="0.3">
      <c r="K303"/>
    </row>
    <row r="304" spans="11:11" ht="19.899999999999999" customHeight="1" x14ac:dyDescent="0.3">
      <c r="K304"/>
    </row>
    <row r="305" spans="11:11" ht="19.899999999999999" customHeight="1" x14ac:dyDescent="0.3">
      <c r="K305"/>
    </row>
    <row r="306" spans="11:11" ht="19.899999999999999" customHeight="1" x14ac:dyDescent="0.3">
      <c r="K306"/>
    </row>
    <row r="307" spans="11:11" ht="19.899999999999999" customHeight="1" x14ac:dyDescent="0.3">
      <c r="K307"/>
    </row>
    <row r="308" spans="11:11" ht="19.899999999999999" customHeight="1" x14ac:dyDescent="0.3">
      <c r="K308"/>
    </row>
    <row r="309" spans="11:11" ht="19.899999999999999" customHeight="1" x14ac:dyDescent="0.3">
      <c r="K309"/>
    </row>
    <row r="310" spans="11:11" ht="19.899999999999999" customHeight="1" x14ac:dyDescent="0.3">
      <c r="K310"/>
    </row>
    <row r="311" spans="11:11" ht="19.899999999999999" customHeight="1" x14ac:dyDescent="0.3">
      <c r="K311"/>
    </row>
    <row r="312" spans="11:11" ht="19.899999999999999" customHeight="1" x14ac:dyDescent="0.3">
      <c r="K312"/>
    </row>
    <row r="313" spans="11:11" ht="19.899999999999999" customHeight="1" x14ac:dyDescent="0.3">
      <c r="K313"/>
    </row>
    <row r="314" spans="11:11" ht="19.899999999999999" customHeight="1" x14ac:dyDescent="0.3">
      <c r="K314"/>
    </row>
    <row r="315" spans="11:11" ht="19.899999999999999" customHeight="1" x14ac:dyDescent="0.3">
      <c r="K315"/>
    </row>
    <row r="316" spans="11:11" ht="19.899999999999999" customHeight="1" x14ac:dyDescent="0.3">
      <c r="K316"/>
    </row>
    <row r="317" spans="11:11" ht="19.899999999999999" customHeight="1" x14ac:dyDescent="0.3">
      <c r="K317"/>
    </row>
    <row r="318" spans="11:11" ht="19.899999999999999" customHeight="1" x14ac:dyDescent="0.3">
      <c r="K318"/>
    </row>
    <row r="319" spans="11:11" ht="19.899999999999999" customHeight="1" x14ac:dyDescent="0.3">
      <c r="K319"/>
    </row>
    <row r="320" spans="11:11" ht="19.899999999999999" customHeight="1" x14ac:dyDescent="0.3">
      <c r="K320"/>
    </row>
    <row r="321" spans="11:11" ht="19.899999999999999" customHeight="1" x14ac:dyDescent="0.3">
      <c r="K321"/>
    </row>
    <row r="322" spans="11:11" ht="19.899999999999999" customHeight="1" x14ac:dyDescent="0.3">
      <c r="K322"/>
    </row>
    <row r="323" spans="11:11" ht="19.899999999999999" customHeight="1" x14ac:dyDescent="0.3">
      <c r="K323"/>
    </row>
    <row r="324" spans="11:11" ht="19.899999999999999" customHeight="1" x14ac:dyDescent="0.3">
      <c r="K324"/>
    </row>
    <row r="325" spans="11:11" ht="19.899999999999999" customHeight="1" x14ac:dyDescent="0.3">
      <c r="K325"/>
    </row>
    <row r="326" spans="11:11" ht="19.899999999999999" customHeight="1" x14ac:dyDescent="0.3">
      <c r="K326"/>
    </row>
    <row r="327" spans="11:11" ht="19.899999999999999" customHeight="1" x14ac:dyDescent="0.3">
      <c r="K327"/>
    </row>
    <row r="328" spans="11:11" ht="19.899999999999999" customHeight="1" x14ac:dyDescent="0.3">
      <c r="K328"/>
    </row>
    <row r="329" spans="11:11" ht="19.899999999999999" customHeight="1" x14ac:dyDescent="0.3">
      <c r="K329"/>
    </row>
    <row r="330" spans="11:11" ht="19.899999999999999" customHeight="1" x14ac:dyDescent="0.3">
      <c r="K330"/>
    </row>
    <row r="331" spans="11:11" ht="19.899999999999999" customHeight="1" x14ac:dyDescent="0.3">
      <c r="K331"/>
    </row>
    <row r="332" spans="11:11" ht="19.899999999999999" customHeight="1" x14ac:dyDescent="0.3">
      <c r="K332"/>
    </row>
    <row r="333" spans="11:11" ht="19.899999999999999" customHeight="1" x14ac:dyDescent="0.3">
      <c r="K333"/>
    </row>
    <row r="334" spans="11:11" ht="19.899999999999999" customHeight="1" x14ac:dyDescent="0.3">
      <c r="K334"/>
    </row>
    <row r="335" spans="11:11" ht="19.899999999999999" customHeight="1" x14ac:dyDescent="0.3">
      <c r="K335"/>
    </row>
    <row r="336" spans="11:11" ht="19.899999999999999" customHeight="1" x14ac:dyDescent="0.3">
      <c r="K336"/>
    </row>
    <row r="337" spans="11:11" ht="19.899999999999999" customHeight="1" x14ac:dyDescent="0.3">
      <c r="K337"/>
    </row>
    <row r="338" spans="11:11" ht="19.899999999999999" customHeight="1" x14ac:dyDescent="0.3">
      <c r="K338"/>
    </row>
    <row r="339" spans="11:11" ht="19.899999999999999" customHeight="1" x14ac:dyDescent="0.3">
      <c r="K339"/>
    </row>
    <row r="340" spans="11:11" ht="19.899999999999999" customHeight="1" x14ac:dyDescent="0.3">
      <c r="K340"/>
    </row>
    <row r="341" spans="11:11" ht="19.899999999999999" customHeight="1" x14ac:dyDescent="0.3">
      <c r="K341"/>
    </row>
    <row r="342" spans="11:11" ht="19.899999999999999" customHeight="1" x14ac:dyDescent="0.3">
      <c r="K342"/>
    </row>
    <row r="343" spans="11:11" ht="19.899999999999999" customHeight="1" x14ac:dyDescent="0.3">
      <c r="K343"/>
    </row>
    <row r="344" spans="11:11" ht="19.899999999999999" customHeight="1" x14ac:dyDescent="0.3">
      <c r="K344"/>
    </row>
    <row r="345" spans="11:11" ht="19.899999999999999" customHeight="1" x14ac:dyDescent="0.3">
      <c r="K345"/>
    </row>
    <row r="346" spans="11:11" ht="19.899999999999999" customHeight="1" x14ac:dyDescent="0.3">
      <c r="K346"/>
    </row>
    <row r="347" spans="11:11" ht="19.899999999999999" customHeight="1" x14ac:dyDescent="0.3">
      <c r="K347"/>
    </row>
    <row r="348" spans="11:11" ht="19.899999999999999" customHeight="1" x14ac:dyDescent="0.3">
      <c r="K348"/>
    </row>
    <row r="349" spans="11:11" ht="19.899999999999999" customHeight="1" x14ac:dyDescent="0.3">
      <c r="K349"/>
    </row>
    <row r="350" spans="11:11" ht="19.899999999999999" customHeight="1" x14ac:dyDescent="0.3">
      <c r="K350"/>
    </row>
    <row r="351" spans="11:11" ht="19.899999999999999" customHeight="1" x14ac:dyDescent="0.3">
      <c r="K351"/>
    </row>
    <row r="352" spans="11:11" ht="19.899999999999999" customHeight="1" x14ac:dyDescent="0.3">
      <c r="K352"/>
    </row>
    <row r="353" spans="11:11" ht="19.899999999999999" customHeight="1" x14ac:dyDescent="0.3">
      <c r="K353"/>
    </row>
    <row r="354" spans="11:11" ht="19.899999999999999" customHeight="1" x14ac:dyDescent="0.3">
      <c r="K354"/>
    </row>
    <row r="355" spans="11:11" ht="19.899999999999999" customHeight="1" x14ac:dyDescent="0.3">
      <c r="K355"/>
    </row>
    <row r="356" spans="11:11" ht="19.899999999999999" customHeight="1" x14ac:dyDescent="0.3">
      <c r="K356"/>
    </row>
    <row r="357" spans="11:11" ht="19.899999999999999" customHeight="1" x14ac:dyDescent="0.3">
      <c r="K357"/>
    </row>
    <row r="358" spans="11:11" ht="19.899999999999999" customHeight="1" x14ac:dyDescent="0.3">
      <c r="K358"/>
    </row>
    <row r="359" spans="11:11" ht="19.899999999999999" customHeight="1" x14ac:dyDescent="0.3">
      <c r="K359"/>
    </row>
    <row r="360" spans="11:11" ht="19.899999999999999" customHeight="1" x14ac:dyDescent="0.3">
      <c r="K360"/>
    </row>
    <row r="361" spans="11:11" ht="19.899999999999999" customHeight="1" x14ac:dyDescent="0.3">
      <c r="K361"/>
    </row>
    <row r="362" spans="11:11" ht="19.899999999999999" customHeight="1" x14ac:dyDescent="0.3">
      <c r="K362"/>
    </row>
    <row r="363" spans="11:11" ht="19.899999999999999" customHeight="1" x14ac:dyDescent="0.3">
      <c r="K363"/>
    </row>
    <row r="364" spans="11:11" ht="19.899999999999999" customHeight="1" x14ac:dyDescent="0.3">
      <c r="K364"/>
    </row>
    <row r="365" spans="11:11" ht="19.899999999999999" customHeight="1" x14ac:dyDescent="0.3">
      <c r="K365"/>
    </row>
    <row r="366" spans="11:11" ht="19.899999999999999" customHeight="1" x14ac:dyDescent="0.3">
      <c r="K366"/>
    </row>
    <row r="367" spans="11:11" ht="19.899999999999999" customHeight="1" x14ac:dyDescent="0.3">
      <c r="K367"/>
    </row>
    <row r="368" spans="11:11" ht="19.899999999999999" customHeight="1" x14ac:dyDescent="0.3">
      <c r="K368"/>
    </row>
    <row r="369" spans="11:11" ht="19.899999999999999" customHeight="1" x14ac:dyDescent="0.3">
      <c r="K369"/>
    </row>
    <row r="370" spans="11:11" ht="19.899999999999999" customHeight="1" x14ac:dyDescent="0.3">
      <c r="K370"/>
    </row>
    <row r="371" spans="11:11" ht="19.899999999999999" customHeight="1" x14ac:dyDescent="0.3">
      <c r="K371"/>
    </row>
    <row r="372" spans="11:11" ht="19.899999999999999" customHeight="1" x14ac:dyDescent="0.3">
      <c r="K372"/>
    </row>
    <row r="373" spans="11:11" ht="19.899999999999999" customHeight="1" x14ac:dyDescent="0.3">
      <c r="K373"/>
    </row>
    <row r="374" spans="11:11" ht="19.899999999999999" customHeight="1" x14ac:dyDescent="0.3">
      <c r="K374"/>
    </row>
    <row r="375" spans="11:11" ht="19.899999999999999" customHeight="1" x14ac:dyDescent="0.3">
      <c r="K375"/>
    </row>
    <row r="376" spans="11:11" ht="19.899999999999999" customHeight="1" x14ac:dyDescent="0.3">
      <c r="K376"/>
    </row>
    <row r="377" spans="11:11" ht="19.899999999999999" customHeight="1" x14ac:dyDescent="0.3">
      <c r="K377"/>
    </row>
    <row r="378" spans="11:11" ht="19.899999999999999" customHeight="1" x14ac:dyDescent="0.3">
      <c r="K378"/>
    </row>
    <row r="379" spans="11:11" ht="19.899999999999999" customHeight="1" x14ac:dyDescent="0.3">
      <c r="K379"/>
    </row>
    <row r="380" spans="11:11" ht="19.899999999999999" customHeight="1" x14ac:dyDescent="0.3">
      <c r="K380"/>
    </row>
    <row r="381" spans="11:11" ht="19.899999999999999" customHeight="1" x14ac:dyDescent="0.3">
      <c r="K381"/>
    </row>
    <row r="382" spans="11:11" ht="19.899999999999999" customHeight="1" x14ac:dyDescent="0.3">
      <c r="K382"/>
    </row>
    <row r="383" spans="11:11" ht="19.899999999999999" customHeight="1" x14ac:dyDescent="0.3">
      <c r="K383"/>
    </row>
    <row r="384" spans="11:11" ht="19.899999999999999" customHeight="1" x14ac:dyDescent="0.3">
      <c r="K384"/>
    </row>
    <row r="385" spans="11:11" ht="19.899999999999999" customHeight="1" x14ac:dyDescent="0.3">
      <c r="K385"/>
    </row>
    <row r="386" spans="11:11" ht="19.899999999999999" customHeight="1" x14ac:dyDescent="0.3">
      <c r="K386"/>
    </row>
    <row r="387" spans="11:11" ht="19.899999999999999" customHeight="1" x14ac:dyDescent="0.3">
      <c r="K387"/>
    </row>
    <row r="388" spans="11:11" ht="19.899999999999999" customHeight="1" x14ac:dyDescent="0.3">
      <c r="K388"/>
    </row>
    <row r="389" spans="11:11" ht="19.899999999999999" customHeight="1" x14ac:dyDescent="0.3">
      <c r="K389"/>
    </row>
    <row r="390" spans="11:11" ht="19.899999999999999" customHeight="1" x14ac:dyDescent="0.3">
      <c r="K390"/>
    </row>
    <row r="391" spans="11:11" ht="19.899999999999999" customHeight="1" x14ac:dyDescent="0.3">
      <c r="K391"/>
    </row>
    <row r="392" spans="11:11" ht="19.899999999999999" customHeight="1" x14ac:dyDescent="0.3">
      <c r="K392"/>
    </row>
    <row r="393" spans="11:11" ht="19.899999999999999" customHeight="1" x14ac:dyDescent="0.3">
      <c r="K393"/>
    </row>
    <row r="394" spans="11:11" ht="19.899999999999999" customHeight="1" x14ac:dyDescent="0.3">
      <c r="K394"/>
    </row>
    <row r="395" spans="11:11" ht="19.899999999999999" customHeight="1" x14ac:dyDescent="0.3">
      <c r="K395"/>
    </row>
    <row r="396" spans="11:11" ht="19.899999999999999" customHeight="1" x14ac:dyDescent="0.3">
      <c r="K396"/>
    </row>
    <row r="397" spans="11:11" ht="19.899999999999999" customHeight="1" x14ac:dyDescent="0.3">
      <c r="K397"/>
    </row>
    <row r="398" spans="11:11" ht="19.899999999999999" customHeight="1" x14ac:dyDescent="0.3">
      <c r="K398"/>
    </row>
    <row r="399" spans="11:11" ht="19.899999999999999" customHeight="1" x14ac:dyDescent="0.3">
      <c r="K399"/>
    </row>
    <row r="400" spans="11:11" ht="19.899999999999999" customHeight="1" x14ac:dyDescent="0.3">
      <c r="K400"/>
    </row>
    <row r="401" spans="11:11" ht="19.899999999999999" customHeight="1" x14ac:dyDescent="0.3">
      <c r="K401"/>
    </row>
    <row r="402" spans="11:11" ht="19.899999999999999" customHeight="1" x14ac:dyDescent="0.3">
      <c r="K402"/>
    </row>
    <row r="403" spans="11:11" ht="19.899999999999999" customHeight="1" x14ac:dyDescent="0.3">
      <c r="K403"/>
    </row>
    <row r="404" spans="11:11" ht="19.899999999999999" customHeight="1" x14ac:dyDescent="0.3">
      <c r="K404"/>
    </row>
    <row r="405" spans="11:11" ht="19.899999999999999" customHeight="1" x14ac:dyDescent="0.3">
      <c r="K405"/>
    </row>
    <row r="406" spans="11:11" ht="19.899999999999999" customHeight="1" x14ac:dyDescent="0.3">
      <c r="K406"/>
    </row>
    <row r="407" spans="11:11" ht="19.899999999999999" customHeight="1" x14ac:dyDescent="0.3">
      <c r="K407"/>
    </row>
    <row r="408" spans="11:11" ht="19.899999999999999" customHeight="1" x14ac:dyDescent="0.3">
      <c r="K408"/>
    </row>
    <row r="409" spans="11:11" ht="19.899999999999999" customHeight="1" x14ac:dyDescent="0.3">
      <c r="K409"/>
    </row>
    <row r="410" spans="11:11" ht="19.899999999999999" customHeight="1" x14ac:dyDescent="0.3">
      <c r="K410"/>
    </row>
    <row r="411" spans="11:11" ht="19.899999999999999" customHeight="1" x14ac:dyDescent="0.3">
      <c r="K411"/>
    </row>
    <row r="412" spans="11:11" ht="19.899999999999999" customHeight="1" x14ac:dyDescent="0.3">
      <c r="K412"/>
    </row>
    <row r="413" spans="11:11" ht="19.899999999999999" customHeight="1" x14ac:dyDescent="0.3">
      <c r="K413"/>
    </row>
    <row r="414" spans="11:11" ht="19.899999999999999" customHeight="1" x14ac:dyDescent="0.3">
      <c r="K414"/>
    </row>
    <row r="415" spans="11:11" ht="19.899999999999999" customHeight="1" x14ac:dyDescent="0.3">
      <c r="K415"/>
    </row>
    <row r="416" spans="11:11" ht="19.899999999999999" customHeight="1" x14ac:dyDescent="0.3">
      <c r="K416"/>
    </row>
    <row r="417" spans="11:11" ht="19.899999999999999" customHeight="1" x14ac:dyDescent="0.3">
      <c r="K417"/>
    </row>
    <row r="418" spans="11:11" ht="19.899999999999999" customHeight="1" x14ac:dyDescent="0.3">
      <c r="K418"/>
    </row>
    <row r="419" spans="11:11" ht="19.899999999999999" customHeight="1" x14ac:dyDescent="0.3">
      <c r="K419"/>
    </row>
    <row r="420" spans="11:11" ht="19.899999999999999" customHeight="1" x14ac:dyDescent="0.3">
      <c r="K420"/>
    </row>
    <row r="421" spans="11:11" ht="19.899999999999999" customHeight="1" x14ac:dyDescent="0.3">
      <c r="K421"/>
    </row>
    <row r="422" spans="11:11" ht="19.899999999999999" customHeight="1" x14ac:dyDescent="0.3">
      <c r="K422"/>
    </row>
    <row r="423" spans="11:11" ht="19.899999999999999" customHeight="1" x14ac:dyDescent="0.3">
      <c r="K423"/>
    </row>
    <row r="424" spans="11:11" ht="19.899999999999999" customHeight="1" x14ac:dyDescent="0.3">
      <c r="K424"/>
    </row>
    <row r="425" spans="11:11" ht="19.899999999999999" customHeight="1" x14ac:dyDescent="0.3">
      <c r="K425"/>
    </row>
    <row r="426" spans="11:11" ht="19.899999999999999" customHeight="1" x14ac:dyDescent="0.3">
      <c r="K426"/>
    </row>
    <row r="427" spans="11:11" ht="19.899999999999999" customHeight="1" x14ac:dyDescent="0.3">
      <c r="K427"/>
    </row>
    <row r="428" spans="11:11" ht="19.899999999999999" customHeight="1" x14ac:dyDescent="0.3">
      <c r="K428"/>
    </row>
    <row r="429" spans="11:11" ht="19.899999999999999" customHeight="1" x14ac:dyDescent="0.3">
      <c r="K429"/>
    </row>
    <row r="430" spans="11:11" ht="19.899999999999999" customHeight="1" x14ac:dyDescent="0.3">
      <c r="K430"/>
    </row>
    <row r="431" spans="11:11" ht="19.899999999999999" customHeight="1" x14ac:dyDescent="0.3">
      <c r="K431"/>
    </row>
    <row r="432" spans="11:11" ht="19.899999999999999" customHeight="1" x14ac:dyDescent="0.3">
      <c r="K432"/>
    </row>
    <row r="433" spans="11:11" ht="19.899999999999999" customHeight="1" x14ac:dyDescent="0.3">
      <c r="K433"/>
    </row>
    <row r="434" spans="11:11" ht="19.899999999999999" customHeight="1" x14ac:dyDescent="0.3">
      <c r="K434"/>
    </row>
    <row r="435" spans="11:11" ht="19.899999999999999" customHeight="1" x14ac:dyDescent="0.3">
      <c r="K435"/>
    </row>
    <row r="436" spans="11:11" ht="19.899999999999999" customHeight="1" x14ac:dyDescent="0.3">
      <c r="K436"/>
    </row>
    <row r="437" spans="11:11" ht="19.899999999999999" customHeight="1" x14ac:dyDescent="0.3">
      <c r="K437"/>
    </row>
    <row r="438" spans="11:11" ht="19.899999999999999" customHeight="1" x14ac:dyDescent="0.3">
      <c r="K438"/>
    </row>
    <row r="439" spans="11:11" ht="19.899999999999999" customHeight="1" x14ac:dyDescent="0.3">
      <c r="K439"/>
    </row>
    <row r="440" spans="11:11" ht="19.899999999999999" customHeight="1" x14ac:dyDescent="0.3">
      <c r="K440"/>
    </row>
    <row r="441" spans="11:11" ht="19.899999999999999" customHeight="1" x14ac:dyDescent="0.3">
      <c r="K441"/>
    </row>
    <row r="442" spans="11:11" ht="19.899999999999999" customHeight="1" x14ac:dyDescent="0.3">
      <c r="K442"/>
    </row>
    <row r="443" spans="11:11" ht="19.899999999999999" customHeight="1" x14ac:dyDescent="0.3">
      <c r="K443"/>
    </row>
    <row r="444" spans="11:11" ht="19.899999999999999" customHeight="1" x14ac:dyDescent="0.3">
      <c r="K444"/>
    </row>
    <row r="445" spans="11:11" ht="19.899999999999999" customHeight="1" x14ac:dyDescent="0.3">
      <c r="K445"/>
    </row>
    <row r="446" spans="11:11" ht="19.899999999999999" customHeight="1" x14ac:dyDescent="0.3">
      <c r="K446"/>
    </row>
    <row r="447" spans="11:11" ht="19.899999999999999" customHeight="1" x14ac:dyDescent="0.3">
      <c r="K447"/>
    </row>
    <row r="448" spans="11:11" ht="19.899999999999999" customHeight="1" x14ac:dyDescent="0.3">
      <c r="K448"/>
    </row>
    <row r="449" spans="11:11" ht="19.899999999999999" customHeight="1" x14ac:dyDescent="0.3">
      <c r="K449"/>
    </row>
    <row r="450" spans="11:11" ht="19.899999999999999" customHeight="1" x14ac:dyDescent="0.3">
      <c r="K450"/>
    </row>
    <row r="451" spans="11:11" ht="19.899999999999999" customHeight="1" x14ac:dyDescent="0.3">
      <c r="K451"/>
    </row>
    <row r="452" spans="11:11" ht="19.899999999999999" customHeight="1" x14ac:dyDescent="0.3">
      <c r="K452"/>
    </row>
    <row r="453" spans="11:11" ht="19.899999999999999" customHeight="1" x14ac:dyDescent="0.3">
      <c r="K453"/>
    </row>
    <row r="454" spans="11:11" ht="19.899999999999999" customHeight="1" x14ac:dyDescent="0.3">
      <c r="K454"/>
    </row>
    <row r="455" spans="11:11" ht="19.899999999999999" customHeight="1" x14ac:dyDescent="0.3">
      <c r="K455"/>
    </row>
    <row r="456" spans="11:11" ht="19.899999999999999" customHeight="1" x14ac:dyDescent="0.3">
      <c r="K456"/>
    </row>
    <row r="457" spans="11:11" ht="19.899999999999999" customHeight="1" x14ac:dyDescent="0.3">
      <c r="K457"/>
    </row>
    <row r="458" spans="11:11" ht="19.899999999999999" customHeight="1" x14ac:dyDescent="0.3">
      <c r="K458"/>
    </row>
    <row r="459" spans="11:11" ht="19.899999999999999" customHeight="1" x14ac:dyDescent="0.3">
      <c r="K459"/>
    </row>
    <row r="460" spans="11:11" ht="19.899999999999999" customHeight="1" x14ac:dyDescent="0.3">
      <c r="K460"/>
    </row>
    <row r="461" spans="11:11" ht="19.899999999999999" customHeight="1" x14ac:dyDescent="0.3">
      <c r="K461"/>
    </row>
    <row r="462" spans="11:11" ht="19.899999999999999" customHeight="1" x14ac:dyDescent="0.3">
      <c r="K462"/>
    </row>
    <row r="463" spans="11:11" ht="19.899999999999999" customHeight="1" x14ac:dyDescent="0.3">
      <c r="K463"/>
    </row>
    <row r="464" spans="11:11" ht="19.899999999999999" customHeight="1" x14ac:dyDescent="0.3">
      <c r="K464"/>
    </row>
    <row r="465" spans="11:11" ht="19.899999999999999" customHeight="1" x14ac:dyDescent="0.3">
      <c r="K465"/>
    </row>
    <row r="466" spans="11:11" ht="19.899999999999999" customHeight="1" x14ac:dyDescent="0.3">
      <c r="K466"/>
    </row>
    <row r="467" spans="11:11" ht="19.899999999999999" customHeight="1" x14ac:dyDescent="0.3">
      <c r="K467"/>
    </row>
    <row r="468" spans="11:11" ht="19.899999999999999" customHeight="1" x14ac:dyDescent="0.3">
      <c r="K468"/>
    </row>
    <row r="469" spans="11:11" ht="19.899999999999999" customHeight="1" x14ac:dyDescent="0.3">
      <c r="K469"/>
    </row>
    <row r="470" spans="11:11" ht="19.899999999999999" customHeight="1" x14ac:dyDescent="0.3">
      <c r="K470"/>
    </row>
    <row r="471" spans="11:11" ht="19.899999999999999" customHeight="1" x14ac:dyDescent="0.3">
      <c r="K471"/>
    </row>
    <row r="472" spans="11:11" ht="19.899999999999999" customHeight="1" x14ac:dyDescent="0.3">
      <c r="K472"/>
    </row>
    <row r="473" spans="11:11" ht="19.899999999999999" customHeight="1" x14ac:dyDescent="0.3">
      <c r="K473"/>
    </row>
    <row r="474" spans="11:11" ht="19.899999999999999" customHeight="1" x14ac:dyDescent="0.3">
      <c r="K474"/>
    </row>
    <row r="475" spans="11:11" ht="19.899999999999999" customHeight="1" x14ac:dyDescent="0.3">
      <c r="K475"/>
    </row>
    <row r="476" spans="11:11" ht="19.899999999999999" customHeight="1" x14ac:dyDescent="0.3">
      <c r="K476"/>
    </row>
    <row r="477" spans="11:11" ht="19.899999999999999" customHeight="1" x14ac:dyDescent="0.3">
      <c r="K477"/>
    </row>
    <row r="478" spans="11:11" ht="19.899999999999999" customHeight="1" x14ac:dyDescent="0.3">
      <c r="K478"/>
    </row>
    <row r="479" spans="11:11" ht="19.899999999999999" customHeight="1" x14ac:dyDescent="0.3">
      <c r="K479"/>
    </row>
    <row r="480" spans="11:11" ht="19.899999999999999" customHeight="1" x14ac:dyDescent="0.3">
      <c r="K480"/>
    </row>
    <row r="481" spans="11:11" ht="19.899999999999999" customHeight="1" x14ac:dyDescent="0.3">
      <c r="K481"/>
    </row>
    <row r="482" spans="11:11" ht="19.899999999999999" customHeight="1" x14ac:dyDescent="0.3">
      <c r="K482"/>
    </row>
    <row r="483" spans="11:11" ht="19.899999999999999" customHeight="1" x14ac:dyDescent="0.3">
      <c r="K483"/>
    </row>
    <row r="484" spans="11:11" ht="19.899999999999999" customHeight="1" x14ac:dyDescent="0.3">
      <c r="K484"/>
    </row>
    <row r="485" spans="11:11" ht="19.899999999999999" customHeight="1" x14ac:dyDescent="0.3">
      <c r="K485"/>
    </row>
    <row r="486" spans="11:11" ht="19.899999999999999" customHeight="1" x14ac:dyDescent="0.3">
      <c r="K486"/>
    </row>
    <row r="487" spans="11:11" ht="19.899999999999999" customHeight="1" x14ac:dyDescent="0.3">
      <c r="K487"/>
    </row>
    <row r="488" spans="11:11" ht="19.899999999999999" customHeight="1" x14ac:dyDescent="0.3">
      <c r="K488"/>
    </row>
    <row r="489" spans="11:11" ht="19.899999999999999" customHeight="1" x14ac:dyDescent="0.3">
      <c r="K489"/>
    </row>
    <row r="490" spans="11:11" ht="19.899999999999999" customHeight="1" x14ac:dyDescent="0.3">
      <c r="K490"/>
    </row>
    <row r="491" spans="11:11" ht="19.899999999999999" customHeight="1" x14ac:dyDescent="0.3">
      <c r="K491"/>
    </row>
    <row r="492" spans="11:11" ht="19.899999999999999" customHeight="1" x14ac:dyDescent="0.3">
      <c r="K492"/>
    </row>
    <row r="493" spans="11:11" ht="19.899999999999999" customHeight="1" x14ac:dyDescent="0.3">
      <c r="K493"/>
    </row>
    <row r="494" spans="11:11" ht="19.899999999999999" customHeight="1" x14ac:dyDescent="0.3">
      <c r="K494"/>
    </row>
    <row r="495" spans="11:11" ht="19.899999999999999" customHeight="1" x14ac:dyDescent="0.3">
      <c r="K495"/>
    </row>
    <row r="496" spans="11:11" ht="19.899999999999999" customHeight="1" x14ac:dyDescent="0.3">
      <c r="K496"/>
    </row>
    <row r="497" spans="11:11" ht="19.899999999999999" customHeight="1" x14ac:dyDescent="0.3">
      <c r="K497"/>
    </row>
    <row r="498" spans="11:11" ht="19.899999999999999" customHeight="1" x14ac:dyDescent="0.3">
      <c r="K498"/>
    </row>
    <row r="499" spans="11:11" ht="19.899999999999999" customHeight="1" x14ac:dyDescent="0.3">
      <c r="K499"/>
    </row>
    <row r="500" spans="11:11" ht="19.899999999999999" customHeight="1" x14ac:dyDescent="0.3">
      <c r="K500"/>
    </row>
    <row r="501" spans="11:11" ht="19.899999999999999" customHeight="1" x14ac:dyDescent="0.3">
      <c r="K501"/>
    </row>
    <row r="502" spans="11:11" ht="19.899999999999999" customHeight="1" x14ac:dyDescent="0.3">
      <c r="K502"/>
    </row>
    <row r="503" spans="11:11" ht="19.899999999999999" customHeight="1" x14ac:dyDescent="0.3">
      <c r="K503"/>
    </row>
    <row r="504" spans="11:11" ht="19.899999999999999" customHeight="1" x14ac:dyDescent="0.3">
      <c r="K504"/>
    </row>
    <row r="505" spans="11:11" ht="19.899999999999999" customHeight="1" x14ac:dyDescent="0.3">
      <c r="K505"/>
    </row>
    <row r="506" spans="11:11" ht="19.899999999999999" customHeight="1" x14ac:dyDescent="0.3">
      <c r="K506"/>
    </row>
    <row r="507" spans="11:11" ht="19.899999999999999" customHeight="1" x14ac:dyDescent="0.3">
      <c r="K507"/>
    </row>
    <row r="508" spans="11:11" ht="19.899999999999999" customHeight="1" x14ac:dyDescent="0.3">
      <c r="K508"/>
    </row>
    <row r="509" spans="11:11" ht="19.899999999999999" customHeight="1" x14ac:dyDescent="0.3">
      <c r="K509"/>
    </row>
    <row r="510" spans="11:11" ht="19.899999999999999" customHeight="1" x14ac:dyDescent="0.3">
      <c r="K510"/>
    </row>
    <row r="511" spans="11:11" ht="19.899999999999999" customHeight="1" x14ac:dyDescent="0.3">
      <c r="K511"/>
    </row>
    <row r="512" spans="11:11" ht="19.899999999999999" customHeight="1" x14ac:dyDescent="0.3">
      <c r="K512"/>
    </row>
    <row r="513" spans="11:11" ht="19.899999999999999" customHeight="1" x14ac:dyDescent="0.3">
      <c r="K513"/>
    </row>
    <row r="514" spans="11:11" ht="19.899999999999999" customHeight="1" x14ac:dyDescent="0.3">
      <c r="K514"/>
    </row>
    <row r="515" spans="11:11" ht="19.899999999999999" customHeight="1" x14ac:dyDescent="0.3">
      <c r="K515"/>
    </row>
    <row r="516" spans="11:11" ht="19.899999999999999" customHeight="1" x14ac:dyDescent="0.3">
      <c r="K516"/>
    </row>
    <row r="517" spans="11:11" ht="19.899999999999999" customHeight="1" x14ac:dyDescent="0.3">
      <c r="K517"/>
    </row>
    <row r="518" spans="11:11" ht="19.899999999999999" customHeight="1" x14ac:dyDescent="0.3">
      <c r="K518"/>
    </row>
    <row r="519" spans="11:11" ht="19.899999999999999" customHeight="1" x14ac:dyDescent="0.3">
      <c r="K519"/>
    </row>
    <row r="520" spans="11:11" ht="19.899999999999999" customHeight="1" x14ac:dyDescent="0.3">
      <c r="K520"/>
    </row>
    <row r="521" spans="11:11" ht="19.899999999999999" customHeight="1" x14ac:dyDescent="0.3">
      <c r="K521"/>
    </row>
    <row r="522" spans="11:11" ht="19.899999999999999" customHeight="1" x14ac:dyDescent="0.3">
      <c r="K522"/>
    </row>
    <row r="523" spans="11:11" ht="19.899999999999999" customHeight="1" x14ac:dyDescent="0.3">
      <c r="K523"/>
    </row>
    <row r="524" spans="11:11" ht="19.899999999999999" customHeight="1" x14ac:dyDescent="0.3">
      <c r="K524"/>
    </row>
    <row r="525" spans="11:11" ht="19.899999999999999" customHeight="1" x14ac:dyDescent="0.3">
      <c r="K525"/>
    </row>
    <row r="526" spans="11:11" ht="19.899999999999999" customHeight="1" x14ac:dyDescent="0.3">
      <c r="K526"/>
    </row>
    <row r="527" spans="11:11" ht="19.899999999999999" customHeight="1" x14ac:dyDescent="0.3">
      <c r="K527"/>
    </row>
    <row r="528" spans="11:11" ht="19.899999999999999" customHeight="1" x14ac:dyDescent="0.3">
      <c r="K528"/>
    </row>
    <row r="529" spans="11:11" ht="19.899999999999999" customHeight="1" x14ac:dyDescent="0.3">
      <c r="K529"/>
    </row>
    <row r="530" spans="11:11" ht="19.899999999999999" customHeight="1" x14ac:dyDescent="0.3">
      <c r="K530"/>
    </row>
    <row r="531" spans="11:11" ht="19.899999999999999" customHeight="1" x14ac:dyDescent="0.3">
      <c r="K531"/>
    </row>
    <row r="532" spans="11:11" ht="19.899999999999999" customHeight="1" x14ac:dyDescent="0.3">
      <c r="K532"/>
    </row>
    <row r="533" spans="11:11" ht="19.899999999999999" customHeight="1" x14ac:dyDescent="0.3">
      <c r="K533"/>
    </row>
    <row r="534" spans="11:11" ht="19.899999999999999" customHeight="1" x14ac:dyDescent="0.3">
      <c r="K534"/>
    </row>
    <row r="535" spans="11:11" ht="19.899999999999999" customHeight="1" x14ac:dyDescent="0.3">
      <c r="K535"/>
    </row>
    <row r="536" spans="11:11" ht="19.899999999999999" customHeight="1" x14ac:dyDescent="0.3">
      <c r="K536"/>
    </row>
    <row r="537" spans="11:11" ht="19.899999999999999" customHeight="1" x14ac:dyDescent="0.3">
      <c r="K537"/>
    </row>
    <row r="538" spans="11:11" ht="19.899999999999999" customHeight="1" x14ac:dyDescent="0.3">
      <c r="K538"/>
    </row>
    <row r="539" spans="11:11" ht="19.899999999999999" customHeight="1" x14ac:dyDescent="0.3">
      <c r="K539"/>
    </row>
    <row r="540" spans="11:11" ht="19.899999999999999" customHeight="1" x14ac:dyDescent="0.3">
      <c r="K540"/>
    </row>
    <row r="541" spans="11:11" ht="19.899999999999999" customHeight="1" x14ac:dyDescent="0.3">
      <c r="K541"/>
    </row>
    <row r="542" spans="11:11" ht="19.899999999999999" customHeight="1" x14ac:dyDescent="0.3">
      <c r="K542"/>
    </row>
    <row r="543" spans="11:11" ht="19.899999999999999" customHeight="1" x14ac:dyDescent="0.3">
      <c r="K543"/>
    </row>
    <row r="544" spans="11:11" ht="19.899999999999999" customHeight="1" x14ac:dyDescent="0.3">
      <c r="K544"/>
    </row>
    <row r="545" spans="11:11" ht="19.899999999999999" customHeight="1" x14ac:dyDescent="0.3">
      <c r="K545"/>
    </row>
    <row r="546" spans="11:11" ht="19.899999999999999" customHeight="1" x14ac:dyDescent="0.3">
      <c r="K546"/>
    </row>
    <row r="547" spans="11:11" ht="19.899999999999999" customHeight="1" x14ac:dyDescent="0.3">
      <c r="K547"/>
    </row>
    <row r="548" spans="11:11" ht="19.899999999999999" customHeight="1" x14ac:dyDescent="0.3">
      <c r="K548"/>
    </row>
    <row r="549" spans="11:11" ht="19.899999999999999" customHeight="1" x14ac:dyDescent="0.3">
      <c r="K549"/>
    </row>
    <row r="550" spans="11:11" ht="19.899999999999999" customHeight="1" x14ac:dyDescent="0.3">
      <c r="K550"/>
    </row>
    <row r="551" spans="11:11" ht="19.899999999999999" customHeight="1" x14ac:dyDescent="0.3">
      <c r="K551"/>
    </row>
    <row r="552" spans="11:11" ht="19.899999999999999" customHeight="1" x14ac:dyDescent="0.3">
      <c r="K552"/>
    </row>
    <row r="553" spans="11:11" ht="19.899999999999999" customHeight="1" x14ac:dyDescent="0.3">
      <c r="K553"/>
    </row>
    <row r="554" spans="11:11" ht="19.899999999999999" customHeight="1" x14ac:dyDescent="0.3">
      <c r="K554"/>
    </row>
    <row r="555" spans="11:11" ht="19.899999999999999" customHeight="1" x14ac:dyDescent="0.3">
      <c r="K555"/>
    </row>
    <row r="556" spans="11:11" ht="19.899999999999999" customHeight="1" x14ac:dyDescent="0.3">
      <c r="K556"/>
    </row>
    <row r="557" spans="11:11" ht="19.899999999999999" customHeight="1" x14ac:dyDescent="0.3">
      <c r="K557"/>
    </row>
    <row r="558" spans="11:11" ht="19.899999999999999" customHeight="1" x14ac:dyDescent="0.3">
      <c r="K558"/>
    </row>
    <row r="559" spans="11:11" ht="19.899999999999999" customHeight="1" x14ac:dyDescent="0.3">
      <c r="K559"/>
    </row>
    <row r="560" spans="11:11" ht="19.899999999999999" customHeight="1" x14ac:dyDescent="0.3">
      <c r="K560"/>
    </row>
    <row r="561" spans="11:11" ht="19.899999999999999" customHeight="1" x14ac:dyDescent="0.3">
      <c r="K561"/>
    </row>
    <row r="562" spans="11:11" ht="19.899999999999999" customHeight="1" x14ac:dyDescent="0.3">
      <c r="K562"/>
    </row>
    <row r="563" spans="11:11" ht="19.899999999999999" customHeight="1" x14ac:dyDescent="0.3">
      <c r="K563"/>
    </row>
    <row r="564" spans="11:11" ht="19.899999999999999" customHeight="1" x14ac:dyDescent="0.3">
      <c r="K564"/>
    </row>
    <row r="565" spans="11:11" ht="19.899999999999999" customHeight="1" x14ac:dyDescent="0.3">
      <c r="K565"/>
    </row>
    <row r="566" spans="11:11" ht="19.899999999999999" customHeight="1" x14ac:dyDescent="0.3">
      <c r="K566"/>
    </row>
    <row r="567" spans="11:11" ht="19.899999999999999" customHeight="1" x14ac:dyDescent="0.3">
      <c r="K567"/>
    </row>
    <row r="568" spans="11:11" ht="19.899999999999999" customHeight="1" x14ac:dyDescent="0.3">
      <c r="K568"/>
    </row>
    <row r="569" spans="11:11" ht="19.899999999999999" customHeight="1" x14ac:dyDescent="0.3">
      <c r="K569"/>
    </row>
    <row r="570" spans="11:11" ht="19.899999999999999" customHeight="1" x14ac:dyDescent="0.3">
      <c r="K570"/>
    </row>
    <row r="571" spans="11:11" ht="19.899999999999999" customHeight="1" x14ac:dyDescent="0.3">
      <c r="K571"/>
    </row>
    <row r="572" spans="11:11" ht="19.899999999999999" customHeight="1" x14ac:dyDescent="0.3">
      <c r="K572"/>
    </row>
    <row r="573" spans="11:11" ht="19.899999999999999" customHeight="1" x14ac:dyDescent="0.3">
      <c r="K573"/>
    </row>
    <row r="574" spans="11:11" ht="19.899999999999999" customHeight="1" x14ac:dyDescent="0.3">
      <c r="K574"/>
    </row>
    <row r="575" spans="11:11" ht="19.899999999999999" customHeight="1" x14ac:dyDescent="0.3">
      <c r="K575"/>
    </row>
    <row r="576" spans="11:11" ht="19.899999999999999" customHeight="1" x14ac:dyDescent="0.3">
      <c r="K576"/>
    </row>
    <row r="577" spans="11:11" ht="19.899999999999999" customHeight="1" x14ac:dyDescent="0.3">
      <c r="K577"/>
    </row>
    <row r="578" spans="11:11" ht="19.899999999999999" customHeight="1" x14ac:dyDescent="0.3">
      <c r="K578"/>
    </row>
    <row r="579" spans="11:11" ht="19.899999999999999" customHeight="1" x14ac:dyDescent="0.3">
      <c r="K579"/>
    </row>
    <row r="580" spans="11:11" ht="19.899999999999999" customHeight="1" x14ac:dyDescent="0.3">
      <c r="K580"/>
    </row>
    <row r="581" spans="11:11" ht="19.899999999999999" customHeight="1" x14ac:dyDescent="0.3">
      <c r="K581"/>
    </row>
    <row r="582" spans="11:11" ht="19.899999999999999" customHeight="1" x14ac:dyDescent="0.3">
      <c r="K582"/>
    </row>
    <row r="583" spans="11:11" ht="19.899999999999999" customHeight="1" x14ac:dyDescent="0.3">
      <c r="K583"/>
    </row>
    <row r="584" spans="11:11" ht="19.899999999999999" customHeight="1" x14ac:dyDescent="0.3">
      <c r="K584"/>
    </row>
    <row r="585" spans="11:11" ht="19.899999999999999" customHeight="1" x14ac:dyDescent="0.3">
      <c r="K585"/>
    </row>
    <row r="586" spans="11:11" ht="19.899999999999999" customHeight="1" x14ac:dyDescent="0.3">
      <c r="K586"/>
    </row>
    <row r="587" spans="11:11" ht="19.899999999999999" customHeight="1" x14ac:dyDescent="0.3">
      <c r="K587"/>
    </row>
    <row r="588" spans="11:11" ht="19.899999999999999" customHeight="1" x14ac:dyDescent="0.3">
      <c r="K588"/>
    </row>
    <row r="589" spans="11:11" ht="19.899999999999999" customHeight="1" x14ac:dyDescent="0.3">
      <c r="K589"/>
    </row>
    <row r="590" spans="11:11" ht="19.899999999999999" customHeight="1" x14ac:dyDescent="0.3">
      <c r="K590"/>
    </row>
    <row r="591" spans="11:11" ht="19.899999999999999" customHeight="1" x14ac:dyDescent="0.3">
      <c r="K591"/>
    </row>
    <row r="592" spans="11:11" ht="19.899999999999999" customHeight="1" x14ac:dyDescent="0.3">
      <c r="K592"/>
    </row>
    <row r="593" spans="11:11" ht="19.899999999999999" customHeight="1" x14ac:dyDescent="0.3">
      <c r="K593"/>
    </row>
    <row r="594" spans="11:11" ht="19.899999999999999" customHeight="1" x14ac:dyDescent="0.3">
      <c r="K594"/>
    </row>
    <row r="595" spans="11:11" ht="19.899999999999999" customHeight="1" x14ac:dyDescent="0.3">
      <c r="K595"/>
    </row>
    <row r="596" spans="11:11" ht="19.899999999999999" customHeight="1" x14ac:dyDescent="0.3">
      <c r="K596"/>
    </row>
    <row r="597" spans="11:11" ht="19.899999999999999" customHeight="1" x14ac:dyDescent="0.3">
      <c r="K597"/>
    </row>
    <row r="598" spans="11:11" ht="19.899999999999999" customHeight="1" x14ac:dyDescent="0.3">
      <c r="K598"/>
    </row>
    <row r="599" spans="11:11" ht="19.899999999999999" customHeight="1" x14ac:dyDescent="0.3">
      <c r="K599"/>
    </row>
    <row r="600" spans="11:11" ht="19.899999999999999" customHeight="1" x14ac:dyDescent="0.3">
      <c r="K600"/>
    </row>
    <row r="601" spans="11:11" ht="19.899999999999999" customHeight="1" x14ac:dyDescent="0.3">
      <c r="K601"/>
    </row>
    <row r="602" spans="11:11" ht="19.899999999999999" customHeight="1" x14ac:dyDescent="0.3">
      <c r="K602"/>
    </row>
    <row r="603" spans="11:11" ht="19.899999999999999" customHeight="1" x14ac:dyDescent="0.3">
      <c r="K603"/>
    </row>
    <row r="604" spans="11:11" ht="19.899999999999999" customHeight="1" x14ac:dyDescent="0.3">
      <c r="K604"/>
    </row>
    <row r="605" spans="11:11" ht="19.899999999999999" customHeight="1" x14ac:dyDescent="0.3">
      <c r="K605"/>
    </row>
    <row r="606" spans="11:11" ht="19.899999999999999" customHeight="1" x14ac:dyDescent="0.3">
      <c r="K606"/>
    </row>
    <row r="607" spans="11:11" ht="19.899999999999999" customHeight="1" x14ac:dyDescent="0.3">
      <c r="K607"/>
    </row>
    <row r="608" spans="11:11" ht="19.899999999999999" customHeight="1" x14ac:dyDescent="0.3">
      <c r="K608"/>
    </row>
    <row r="609" spans="11:11" ht="19.899999999999999" customHeight="1" x14ac:dyDescent="0.3">
      <c r="K609"/>
    </row>
    <row r="610" spans="11:11" ht="19.899999999999999" customHeight="1" x14ac:dyDescent="0.3">
      <c r="K610"/>
    </row>
    <row r="611" spans="11:11" ht="19.899999999999999" customHeight="1" x14ac:dyDescent="0.3">
      <c r="K611"/>
    </row>
    <row r="612" spans="11:11" ht="19.899999999999999" customHeight="1" x14ac:dyDescent="0.3">
      <c r="K612"/>
    </row>
    <row r="613" spans="11:11" ht="19.899999999999999" customHeight="1" x14ac:dyDescent="0.3">
      <c r="K613"/>
    </row>
    <row r="614" spans="11:11" ht="19.899999999999999" customHeight="1" x14ac:dyDescent="0.3">
      <c r="K614"/>
    </row>
    <row r="615" spans="11:11" ht="19.899999999999999" customHeight="1" x14ac:dyDescent="0.3">
      <c r="K615"/>
    </row>
    <row r="616" spans="11:11" ht="19.899999999999999" customHeight="1" x14ac:dyDescent="0.3">
      <c r="K616"/>
    </row>
    <row r="617" spans="11:11" ht="19.899999999999999" customHeight="1" x14ac:dyDescent="0.3">
      <c r="K617"/>
    </row>
    <row r="618" spans="11:11" ht="19.899999999999999" customHeight="1" x14ac:dyDescent="0.3">
      <c r="K618"/>
    </row>
    <row r="619" spans="11:11" ht="19.899999999999999" customHeight="1" x14ac:dyDescent="0.3">
      <c r="K619"/>
    </row>
    <row r="620" spans="11:11" ht="19.899999999999999" customHeight="1" x14ac:dyDescent="0.3">
      <c r="K620"/>
    </row>
    <row r="621" spans="11:11" ht="19.899999999999999" customHeight="1" x14ac:dyDescent="0.3">
      <c r="K621"/>
    </row>
    <row r="622" spans="11:11" ht="19.899999999999999" customHeight="1" x14ac:dyDescent="0.3">
      <c r="K622"/>
    </row>
    <row r="623" spans="11:11" ht="19.899999999999999" customHeight="1" x14ac:dyDescent="0.3">
      <c r="K623"/>
    </row>
    <row r="624" spans="11:11" ht="19.899999999999999" customHeight="1" x14ac:dyDescent="0.3">
      <c r="K624"/>
    </row>
    <row r="625" spans="11:11" ht="19.899999999999999" customHeight="1" x14ac:dyDescent="0.3">
      <c r="K625"/>
    </row>
    <row r="626" spans="11:11" ht="19.899999999999999" customHeight="1" x14ac:dyDescent="0.3">
      <c r="K626"/>
    </row>
    <row r="627" spans="11:11" ht="19.899999999999999" customHeight="1" x14ac:dyDescent="0.3">
      <c r="K627"/>
    </row>
    <row r="628" spans="11:11" ht="19.899999999999999" customHeight="1" x14ac:dyDescent="0.3">
      <c r="K628"/>
    </row>
    <row r="629" spans="11:11" ht="19.899999999999999" customHeight="1" x14ac:dyDescent="0.3">
      <c r="K629"/>
    </row>
    <row r="630" spans="11:11" ht="19.899999999999999" customHeight="1" x14ac:dyDescent="0.3">
      <c r="K630"/>
    </row>
    <row r="631" spans="11:11" ht="19.899999999999999" customHeight="1" x14ac:dyDescent="0.3">
      <c r="K631"/>
    </row>
    <row r="632" spans="11:11" ht="19.899999999999999" customHeight="1" x14ac:dyDescent="0.3">
      <c r="K632"/>
    </row>
    <row r="633" spans="11:11" ht="19.899999999999999" customHeight="1" x14ac:dyDescent="0.3">
      <c r="K633"/>
    </row>
    <row r="634" spans="11:11" ht="19.899999999999999" customHeight="1" x14ac:dyDescent="0.3">
      <c r="K634"/>
    </row>
    <row r="635" spans="11:11" ht="19.899999999999999" customHeight="1" x14ac:dyDescent="0.3">
      <c r="K635"/>
    </row>
    <row r="636" spans="11:11" ht="19.899999999999999" customHeight="1" x14ac:dyDescent="0.3">
      <c r="K636"/>
    </row>
    <row r="637" spans="11:11" ht="19.899999999999999" customHeight="1" x14ac:dyDescent="0.3">
      <c r="K637"/>
    </row>
    <row r="638" spans="11:11" ht="19.899999999999999" customHeight="1" x14ac:dyDescent="0.3">
      <c r="K638"/>
    </row>
    <row r="639" spans="11:11" ht="19.899999999999999" customHeight="1" x14ac:dyDescent="0.3">
      <c r="K639"/>
    </row>
    <row r="640" spans="11:11" ht="19.899999999999999" customHeight="1" x14ac:dyDescent="0.3">
      <c r="K640"/>
    </row>
    <row r="641" spans="11:11" ht="19.899999999999999" customHeight="1" x14ac:dyDescent="0.3">
      <c r="K641"/>
    </row>
    <row r="642" spans="11:11" ht="19.899999999999999" customHeight="1" x14ac:dyDescent="0.3">
      <c r="K642"/>
    </row>
    <row r="643" spans="11:11" ht="19.899999999999999" customHeight="1" x14ac:dyDescent="0.3">
      <c r="K643"/>
    </row>
    <row r="644" spans="11:11" ht="19.899999999999999" customHeight="1" x14ac:dyDescent="0.3">
      <c r="K644"/>
    </row>
    <row r="645" spans="11:11" ht="19.899999999999999" customHeight="1" x14ac:dyDescent="0.3">
      <c r="K645"/>
    </row>
    <row r="646" spans="11:11" ht="19.899999999999999" customHeight="1" x14ac:dyDescent="0.3">
      <c r="K646"/>
    </row>
    <row r="647" spans="11:11" ht="19.899999999999999" customHeight="1" x14ac:dyDescent="0.3">
      <c r="K647"/>
    </row>
    <row r="648" spans="11:11" ht="19.899999999999999" customHeight="1" x14ac:dyDescent="0.3">
      <c r="K648"/>
    </row>
    <row r="649" spans="11:11" ht="19.899999999999999" customHeight="1" x14ac:dyDescent="0.3">
      <c r="K649"/>
    </row>
    <row r="650" spans="11:11" ht="19.899999999999999" customHeight="1" x14ac:dyDescent="0.3">
      <c r="K650"/>
    </row>
    <row r="651" spans="11:11" ht="19.899999999999999" customHeight="1" x14ac:dyDescent="0.3">
      <c r="K651"/>
    </row>
    <row r="652" spans="11:11" ht="19.899999999999999" customHeight="1" x14ac:dyDescent="0.3">
      <c r="K652"/>
    </row>
    <row r="653" spans="11:11" ht="19.899999999999999" customHeight="1" x14ac:dyDescent="0.3">
      <c r="K653"/>
    </row>
    <row r="654" spans="11:11" ht="19.899999999999999" customHeight="1" x14ac:dyDescent="0.3">
      <c r="K654"/>
    </row>
    <row r="655" spans="11:11" ht="19.899999999999999" customHeight="1" x14ac:dyDescent="0.3">
      <c r="K655"/>
    </row>
    <row r="656" spans="11:11" ht="19.899999999999999" customHeight="1" x14ac:dyDescent="0.3">
      <c r="K656"/>
    </row>
    <row r="657" spans="11:11" ht="19.899999999999999" customHeight="1" x14ac:dyDescent="0.3">
      <c r="K657"/>
    </row>
    <row r="658" spans="11:11" ht="19.899999999999999" customHeight="1" x14ac:dyDescent="0.3">
      <c r="K658"/>
    </row>
    <row r="659" spans="11:11" ht="19.899999999999999" customHeight="1" x14ac:dyDescent="0.3">
      <c r="K659"/>
    </row>
    <row r="660" spans="11:11" ht="19.899999999999999" customHeight="1" x14ac:dyDescent="0.3">
      <c r="K660"/>
    </row>
    <row r="661" spans="11:11" ht="19.899999999999999" customHeight="1" x14ac:dyDescent="0.3">
      <c r="K661"/>
    </row>
    <row r="662" spans="11:11" ht="19.899999999999999" customHeight="1" x14ac:dyDescent="0.3">
      <c r="K662"/>
    </row>
    <row r="663" spans="11:11" ht="19.899999999999999" customHeight="1" x14ac:dyDescent="0.3">
      <c r="K663"/>
    </row>
    <row r="664" spans="11:11" ht="19.899999999999999" customHeight="1" x14ac:dyDescent="0.3">
      <c r="K664"/>
    </row>
    <row r="665" spans="11:11" ht="19.899999999999999" customHeight="1" x14ac:dyDescent="0.3">
      <c r="K665"/>
    </row>
    <row r="666" spans="11:11" ht="19.899999999999999" customHeight="1" x14ac:dyDescent="0.3">
      <c r="K666"/>
    </row>
    <row r="667" spans="11:11" ht="19.899999999999999" customHeight="1" x14ac:dyDescent="0.3">
      <c r="K667"/>
    </row>
    <row r="668" spans="11:11" ht="19.899999999999999" customHeight="1" x14ac:dyDescent="0.3">
      <c r="K668"/>
    </row>
    <row r="669" spans="11:11" ht="19.899999999999999" customHeight="1" x14ac:dyDescent="0.3">
      <c r="K669"/>
    </row>
    <row r="670" spans="11:11" ht="19.899999999999999" customHeight="1" x14ac:dyDescent="0.3">
      <c r="K670"/>
    </row>
    <row r="671" spans="11:11" ht="19.899999999999999" customHeight="1" x14ac:dyDescent="0.3">
      <c r="K671"/>
    </row>
    <row r="672" spans="11:11" ht="19.899999999999999" customHeight="1" x14ac:dyDescent="0.3">
      <c r="K672"/>
    </row>
    <row r="673" spans="11:11" ht="19.899999999999999" customHeight="1" x14ac:dyDescent="0.3">
      <c r="K673"/>
    </row>
    <row r="674" spans="11:11" ht="19.899999999999999" customHeight="1" x14ac:dyDescent="0.3">
      <c r="K674"/>
    </row>
    <row r="675" spans="11:11" ht="19.899999999999999" customHeight="1" x14ac:dyDescent="0.3">
      <c r="K675"/>
    </row>
    <row r="676" spans="11:11" ht="19.899999999999999" customHeight="1" x14ac:dyDescent="0.3">
      <c r="K676"/>
    </row>
    <row r="677" spans="11:11" ht="19.899999999999999" customHeight="1" x14ac:dyDescent="0.3">
      <c r="K677"/>
    </row>
    <row r="678" spans="11:11" ht="19.899999999999999" customHeight="1" x14ac:dyDescent="0.3">
      <c r="K678"/>
    </row>
    <row r="679" spans="11:11" ht="19.899999999999999" customHeight="1" x14ac:dyDescent="0.3">
      <c r="K679"/>
    </row>
    <row r="680" spans="11:11" ht="19.899999999999999" customHeight="1" x14ac:dyDescent="0.3">
      <c r="K680"/>
    </row>
    <row r="681" spans="11:11" ht="19.899999999999999" customHeight="1" x14ac:dyDescent="0.3">
      <c r="K681"/>
    </row>
    <row r="682" spans="11:11" ht="19.899999999999999" customHeight="1" x14ac:dyDescent="0.3">
      <c r="K682"/>
    </row>
    <row r="683" spans="11:11" ht="19.899999999999999" customHeight="1" x14ac:dyDescent="0.3">
      <c r="K683"/>
    </row>
    <row r="684" spans="11:11" ht="19.899999999999999" customHeight="1" x14ac:dyDescent="0.3">
      <c r="K684"/>
    </row>
    <row r="685" spans="11:11" ht="19.899999999999999" customHeight="1" x14ac:dyDescent="0.3">
      <c r="K685"/>
    </row>
    <row r="686" spans="11:11" ht="19.899999999999999" customHeight="1" x14ac:dyDescent="0.3">
      <c r="K686"/>
    </row>
    <row r="687" spans="11:11" ht="19.899999999999999" customHeight="1" x14ac:dyDescent="0.3">
      <c r="K687"/>
    </row>
    <row r="688" spans="11:11" ht="19.899999999999999" customHeight="1" x14ac:dyDescent="0.3">
      <c r="K688"/>
    </row>
    <row r="689" spans="11:11" ht="19.899999999999999" customHeight="1" x14ac:dyDescent="0.3">
      <c r="K689"/>
    </row>
    <row r="690" spans="11:11" ht="19.899999999999999" customHeight="1" x14ac:dyDescent="0.3">
      <c r="K690"/>
    </row>
    <row r="691" spans="11:11" ht="19.899999999999999" customHeight="1" x14ac:dyDescent="0.3">
      <c r="K691"/>
    </row>
    <row r="692" spans="11:11" ht="19.899999999999999" customHeight="1" x14ac:dyDescent="0.3">
      <c r="K692"/>
    </row>
    <row r="693" spans="11:11" ht="19.899999999999999" customHeight="1" x14ac:dyDescent="0.3">
      <c r="K693"/>
    </row>
    <row r="694" spans="11:11" ht="19.899999999999999" customHeight="1" x14ac:dyDescent="0.3">
      <c r="K694"/>
    </row>
    <row r="695" spans="11:11" ht="19.899999999999999" customHeight="1" x14ac:dyDescent="0.3">
      <c r="K695"/>
    </row>
    <row r="696" spans="11:11" ht="19.899999999999999" customHeight="1" x14ac:dyDescent="0.3">
      <c r="K696"/>
    </row>
    <row r="697" spans="11:11" ht="19.899999999999999" customHeight="1" x14ac:dyDescent="0.3">
      <c r="K697"/>
    </row>
    <row r="698" spans="11:11" ht="19.899999999999999" customHeight="1" x14ac:dyDescent="0.3">
      <c r="K698"/>
    </row>
    <row r="699" spans="11:11" ht="19.899999999999999" customHeight="1" x14ac:dyDescent="0.3">
      <c r="K699"/>
    </row>
    <row r="700" spans="11:11" ht="19.899999999999999" customHeight="1" x14ac:dyDescent="0.3">
      <c r="K700"/>
    </row>
    <row r="701" spans="11:11" ht="19.899999999999999" customHeight="1" x14ac:dyDescent="0.3">
      <c r="K701"/>
    </row>
    <row r="702" spans="11:11" ht="19.899999999999999" customHeight="1" x14ac:dyDescent="0.3">
      <c r="K702"/>
    </row>
    <row r="703" spans="11:11" ht="19.899999999999999" customHeight="1" x14ac:dyDescent="0.3">
      <c r="K703"/>
    </row>
    <row r="704" spans="11:11" ht="19.899999999999999" customHeight="1" x14ac:dyDescent="0.3">
      <c r="K704"/>
    </row>
    <row r="705" spans="11:11" ht="19.899999999999999" customHeight="1" x14ac:dyDescent="0.3">
      <c r="K705"/>
    </row>
    <row r="706" spans="11:11" ht="19.899999999999999" customHeight="1" x14ac:dyDescent="0.3">
      <c r="K706"/>
    </row>
    <row r="707" spans="11:11" ht="19.899999999999999" customHeight="1" x14ac:dyDescent="0.3">
      <c r="K707"/>
    </row>
    <row r="708" spans="11:11" ht="19.899999999999999" customHeight="1" x14ac:dyDescent="0.3">
      <c r="K708"/>
    </row>
    <row r="709" spans="11:11" ht="19.899999999999999" customHeight="1" x14ac:dyDescent="0.3">
      <c r="K709"/>
    </row>
    <row r="710" spans="11:11" ht="19.899999999999999" customHeight="1" x14ac:dyDescent="0.3">
      <c r="K710"/>
    </row>
    <row r="711" spans="11:11" ht="19.899999999999999" customHeight="1" x14ac:dyDescent="0.3">
      <c r="K711"/>
    </row>
    <row r="712" spans="11:11" ht="19.899999999999999" customHeight="1" x14ac:dyDescent="0.3">
      <c r="K712"/>
    </row>
    <row r="713" spans="11:11" ht="19.899999999999999" customHeight="1" x14ac:dyDescent="0.3">
      <c r="K713"/>
    </row>
    <row r="714" spans="11:11" ht="19.899999999999999" customHeight="1" x14ac:dyDescent="0.3">
      <c r="K714"/>
    </row>
    <row r="715" spans="11:11" ht="19.899999999999999" customHeight="1" x14ac:dyDescent="0.3">
      <c r="K715"/>
    </row>
    <row r="716" spans="11:11" ht="19.899999999999999" customHeight="1" x14ac:dyDescent="0.3">
      <c r="K716"/>
    </row>
    <row r="717" spans="11:11" ht="19.899999999999999" customHeight="1" x14ac:dyDescent="0.3">
      <c r="K717"/>
    </row>
    <row r="718" spans="11:11" ht="19.899999999999999" customHeight="1" x14ac:dyDescent="0.3">
      <c r="K718"/>
    </row>
    <row r="719" spans="11:11" ht="19.899999999999999" customHeight="1" x14ac:dyDescent="0.3">
      <c r="K719"/>
    </row>
    <row r="720" spans="11:11" ht="19.899999999999999" customHeight="1" x14ac:dyDescent="0.3">
      <c r="K720"/>
    </row>
    <row r="721" spans="11:11" ht="19.899999999999999" customHeight="1" x14ac:dyDescent="0.3">
      <c r="K721"/>
    </row>
    <row r="722" spans="11:11" ht="19.899999999999999" customHeight="1" x14ac:dyDescent="0.3">
      <c r="K722"/>
    </row>
    <row r="723" spans="11:11" ht="19.899999999999999" customHeight="1" x14ac:dyDescent="0.3">
      <c r="K723"/>
    </row>
    <row r="724" spans="11:11" ht="19.899999999999999" customHeight="1" x14ac:dyDescent="0.3">
      <c r="K724"/>
    </row>
    <row r="725" spans="11:11" ht="19.899999999999999" customHeight="1" x14ac:dyDescent="0.3">
      <c r="K725"/>
    </row>
    <row r="726" spans="11:11" ht="19.899999999999999" customHeight="1" x14ac:dyDescent="0.3">
      <c r="K726"/>
    </row>
    <row r="727" spans="11:11" ht="19.899999999999999" customHeight="1" x14ac:dyDescent="0.3">
      <c r="K727"/>
    </row>
    <row r="728" spans="11:11" ht="19.899999999999999" customHeight="1" x14ac:dyDescent="0.3">
      <c r="K728"/>
    </row>
    <row r="729" spans="11:11" ht="19.899999999999999" customHeight="1" x14ac:dyDescent="0.3">
      <c r="K729"/>
    </row>
    <row r="730" spans="11:11" ht="19.899999999999999" customHeight="1" x14ac:dyDescent="0.3">
      <c r="K730"/>
    </row>
    <row r="731" spans="11:11" ht="19.899999999999999" customHeight="1" x14ac:dyDescent="0.3">
      <c r="K731"/>
    </row>
    <row r="732" spans="11:11" ht="19.899999999999999" customHeight="1" x14ac:dyDescent="0.3">
      <c r="K732"/>
    </row>
    <row r="733" spans="11:11" ht="19.899999999999999" customHeight="1" x14ac:dyDescent="0.3">
      <c r="K733"/>
    </row>
    <row r="734" spans="11:11" ht="19.899999999999999" customHeight="1" x14ac:dyDescent="0.3">
      <c r="K734"/>
    </row>
    <row r="735" spans="11:11" ht="19.899999999999999" customHeight="1" x14ac:dyDescent="0.3">
      <c r="K735"/>
    </row>
    <row r="736" spans="11:11" ht="19.899999999999999" customHeight="1" x14ac:dyDescent="0.3">
      <c r="K736"/>
    </row>
    <row r="737" spans="11:11" ht="19.899999999999999" customHeight="1" x14ac:dyDescent="0.3">
      <c r="K737"/>
    </row>
    <row r="738" spans="11:11" ht="19.899999999999999" customHeight="1" x14ac:dyDescent="0.3">
      <c r="K738"/>
    </row>
    <row r="739" spans="11:11" ht="19.899999999999999" customHeight="1" x14ac:dyDescent="0.3">
      <c r="K739"/>
    </row>
    <row r="740" spans="11:11" ht="19.899999999999999" customHeight="1" x14ac:dyDescent="0.3">
      <c r="K740"/>
    </row>
    <row r="741" spans="11:11" ht="19.899999999999999" customHeight="1" x14ac:dyDescent="0.3">
      <c r="K741"/>
    </row>
    <row r="742" spans="11:11" ht="19.899999999999999" customHeight="1" x14ac:dyDescent="0.3">
      <c r="K742"/>
    </row>
    <row r="743" spans="11:11" ht="19.899999999999999" customHeight="1" x14ac:dyDescent="0.3">
      <c r="K743"/>
    </row>
    <row r="744" spans="11:11" ht="19.899999999999999" customHeight="1" x14ac:dyDescent="0.3">
      <c r="K744"/>
    </row>
    <row r="745" spans="11:11" ht="19.899999999999999" customHeight="1" x14ac:dyDescent="0.3">
      <c r="K745"/>
    </row>
    <row r="746" spans="11:11" ht="19.899999999999999" customHeight="1" x14ac:dyDescent="0.3">
      <c r="K746"/>
    </row>
    <row r="747" spans="11:11" ht="19.899999999999999" customHeight="1" x14ac:dyDescent="0.3">
      <c r="K747"/>
    </row>
    <row r="748" spans="11:11" ht="19.899999999999999" customHeight="1" x14ac:dyDescent="0.3">
      <c r="K748"/>
    </row>
    <row r="749" spans="11:11" ht="19.899999999999999" customHeight="1" x14ac:dyDescent="0.3">
      <c r="K749"/>
    </row>
    <row r="750" spans="11:11" ht="19.899999999999999" customHeight="1" x14ac:dyDescent="0.3">
      <c r="K750"/>
    </row>
    <row r="751" spans="11:11" ht="19.899999999999999" customHeight="1" x14ac:dyDescent="0.3">
      <c r="K751"/>
    </row>
    <row r="752" spans="11:11" ht="19.899999999999999" customHeight="1" x14ac:dyDescent="0.3">
      <c r="K752"/>
    </row>
    <row r="753" spans="11:11" ht="19.899999999999999" customHeight="1" x14ac:dyDescent="0.3">
      <c r="K753"/>
    </row>
    <row r="754" spans="11:11" ht="19.899999999999999" customHeight="1" x14ac:dyDescent="0.3">
      <c r="K754"/>
    </row>
    <row r="755" spans="11:11" ht="19.899999999999999" customHeight="1" x14ac:dyDescent="0.3">
      <c r="K755"/>
    </row>
    <row r="756" spans="11:11" ht="19.899999999999999" customHeight="1" x14ac:dyDescent="0.3">
      <c r="K756"/>
    </row>
    <row r="757" spans="11:11" ht="19.899999999999999" customHeight="1" x14ac:dyDescent="0.3">
      <c r="K757"/>
    </row>
    <row r="758" spans="11:11" ht="19.899999999999999" customHeight="1" x14ac:dyDescent="0.3">
      <c r="K758"/>
    </row>
    <row r="759" spans="11:11" ht="19.899999999999999" customHeight="1" x14ac:dyDescent="0.3">
      <c r="K759"/>
    </row>
    <row r="760" spans="11:11" ht="19.899999999999999" customHeight="1" x14ac:dyDescent="0.3">
      <c r="K760"/>
    </row>
    <row r="761" spans="11:11" ht="19.899999999999999" customHeight="1" x14ac:dyDescent="0.3">
      <c r="K761"/>
    </row>
    <row r="762" spans="11:11" ht="19.899999999999999" customHeight="1" x14ac:dyDescent="0.3">
      <c r="K762"/>
    </row>
    <row r="763" spans="11:11" ht="19.899999999999999" customHeight="1" x14ac:dyDescent="0.3">
      <c r="K763"/>
    </row>
    <row r="764" spans="11:11" ht="19.899999999999999" customHeight="1" x14ac:dyDescent="0.3">
      <c r="K764"/>
    </row>
    <row r="765" spans="11:11" ht="19.899999999999999" customHeight="1" x14ac:dyDescent="0.3">
      <c r="K765"/>
    </row>
    <row r="766" spans="11:11" ht="19.899999999999999" customHeight="1" x14ac:dyDescent="0.3">
      <c r="K766"/>
    </row>
    <row r="767" spans="11:11" ht="19.899999999999999" customHeight="1" x14ac:dyDescent="0.3">
      <c r="K767"/>
    </row>
    <row r="768" spans="11:11" ht="19.899999999999999" customHeight="1" x14ac:dyDescent="0.3">
      <c r="K768"/>
    </row>
    <row r="769" spans="11:11" ht="19.899999999999999" customHeight="1" x14ac:dyDescent="0.3">
      <c r="K769"/>
    </row>
    <row r="770" spans="11:11" ht="19.899999999999999" customHeight="1" x14ac:dyDescent="0.3">
      <c r="K770"/>
    </row>
    <row r="771" spans="11:11" ht="19.899999999999999" customHeight="1" x14ac:dyDescent="0.3">
      <c r="K771"/>
    </row>
    <row r="772" spans="11:11" ht="19.899999999999999" customHeight="1" x14ac:dyDescent="0.3">
      <c r="K772"/>
    </row>
    <row r="773" spans="11:11" ht="19.899999999999999" customHeight="1" x14ac:dyDescent="0.3">
      <c r="K773"/>
    </row>
    <row r="774" spans="11:11" ht="19.899999999999999" customHeight="1" x14ac:dyDescent="0.3">
      <c r="K774"/>
    </row>
    <row r="775" spans="11:11" ht="19.899999999999999" customHeight="1" x14ac:dyDescent="0.3">
      <c r="K775"/>
    </row>
    <row r="776" spans="11:11" ht="19.899999999999999" customHeight="1" x14ac:dyDescent="0.3">
      <c r="K776"/>
    </row>
    <row r="777" spans="11:11" ht="19.899999999999999" customHeight="1" x14ac:dyDescent="0.3">
      <c r="K777"/>
    </row>
    <row r="778" spans="11:11" ht="19.899999999999999" customHeight="1" x14ac:dyDescent="0.3">
      <c r="K778"/>
    </row>
    <row r="779" spans="11:11" ht="19.899999999999999" customHeight="1" x14ac:dyDescent="0.3">
      <c r="K779"/>
    </row>
    <row r="780" spans="11:11" ht="19.899999999999999" customHeight="1" x14ac:dyDescent="0.3">
      <c r="K780"/>
    </row>
    <row r="781" spans="11:11" ht="19.899999999999999" customHeight="1" x14ac:dyDescent="0.3">
      <c r="K781"/>
    </row>
    <row r="782" spans="11:11" ht="19.899999999999999" customHeight="1" x14ac:dyDescent="0.3">
      <c r="K782"/>
    </row>
    <row r="783" spans="11:11" ht="19.899999999999999" customHeight="1" x14ac:dyDescent="0.3">
      <c r="K783"/>
    </row>
    <row r="784" spans="11:11" ht="19.899999999999999" customHeight="1" x14ac:dyDescent="0.3">
      <c r="K784"/>
    </row>
    <row r="785" spans="11:11" ht="19.899999999999999" customHeight="1" x14ac:dyDescent="0.3">
      <c r="K785"/>
    </row>
    <row r="786" spans="11:11" ht="19.899999999999999" customHeight="1" x14ac:dyDescent="0.3">
      <c r="K786"/>
    </row>
    <row r="787" spans="11:11" ht="19.899999999999999" customHeight="1" x14ac:dyDescent="0.3">
      <c r="K787"/>
    </row>
    <row r="788" spans="11:11" ht="19.899999999999999" customHeight="1" x14ac:dyDescent="0.3">
      <c r="K788"/>
    </row>
    <row r="789" spans="11:11" ht="19.899999999999999" customHeight="1" x14ac:dyDescent="0.3">
      <c r="K789"/>
    </row>
    <row r="790" spans="11:11" ht="19.899999999999999" customHeight="1" x14ac:dyDescent="0.3">
      <c r="K790"/>
    </row>
    <row r="791" spans="11:11" ht="19.899999999999999" customHeight="1" x14ac:dyDescent="0.3">
      <c r="K791"/>
    </row>
    <row r="792" spans="11:11" ht="19.899999999999999" customHeight="1" x14ac:dyDescent="0.3">
      <c r="K792"/>
    </row>
    <row r="793" spans="11:11" ht="19.899999999999999" customHeight="1" x14ac:dyDescent="0.3">
      <c r="K793"/>
    </row>
    <row r="794" spans="11:11" ht="19.899999999999999" customHeight="1" x14ac:dyDescent="0.3">
      <c r="K794"/>
    </row>
    <row r="795" spans="11:11" ht="19.899999999999999" customHeight="1" x14ac:dyDescent="0.3">
      <c r="K795"/>
    </row>
    <row r="796" spans="11:11" ht="19.899999999999999" customHeight="1" x14ac:dyDescent="0.3">
      <c r="K796"/>
    </row>
    <row r="797" spans="11:11" ht="19.899999999999999" customHeight="1" x14ac:dyDescent="0.3">
      <c r="K797"/>
    </row>
    <row r="798" spans="11:11" ht="19.899999999999999" customHeight="1" x14ac:dyDescent="0.3">
      <c r="K798"/>
    </row>
    <row r="799" spans="11:11" ht="19.899999999999999" customHeight="1" x14ac:dyDescent="0.3">
      <c r="K799"/>
    </row>
    <row r="800" spans="11:11" ht="19.899999999999999" customHeight="1" x14ac:dyDescent="0.3">
      <c r="K800"/>
    </row>
    <row r="801" spans="11:11" ht="19.899999999999999" customHeight="1" x14ac:dyDescent="0.3">
      <c r="K801"/>
    </row>
    <row r="802" spans="11:11" ht="19.899999999999999" customHeight="1" x14ac:dyDescent="0.3">
      <c r="K802"/>
    </row>
    <row r="803" spans="11:11" ht="19.899999999999999" customHeight="1" x14ac:dyDescent="0.3">
      <c r="K803"/>
    </row>
    <row r="804" spans="11:11" ht="19.899999999999999" customHeight="1" x14ac:dyDescent="0.3">
      <c r="K804"/>
    </row>
    <row r="805" spans="11:11" ht="19.899999999999999" customHeight="1" x14ac:dyDescent="0.3">
      <c r="K805"/>
    </row>
    <row r="806" spans="11:11" ht="19.899999999999999" customHeight="1" x14ac:dyDescent="0.3">
      <c r="K806"/>
    </row>
    <row r="807" spans="11:11" ht="19.899999999999999" customHeight="1" x14ac:dyDescent="0.3">
      <c r="K807"/>
    </row>
    <row r="808" spans="11:11" ht="19.899999999999999" customHeight="1" x14ac:dyDescent="0.3">
      <c r="K808"/>
    </row>
    <row r="809" spans="11:11" ht="19.899999999999999" customHeight="1" x14ac:dyDescent="0.3">
      <c r="K809"/>
    </row>
    <row r="810" spans="11:11" ht="19.899999999999999" customHeight="1" x14ac:dyDescent="0.3">
      <c r="K810"/>
    </row>
    <row r="811" spans="11:11" ht="19.899999999999999" customHeight="1" x14ac:dyDescent="0.3">
      <c r="K811"/>
    </row>
    <row r="812" spans="11:11" ht="19.899999999999999" customHeight="1" x14ac:dyDescent="0.3">
      <c r="K812"/>
    </row>
    <row r="813" spans="11:11" ht="19.899999999999999" customHeight="1" x14ac:dyDescent="0.3">
      <c r="K813"/>
    </row>
    <row r="814" spans="11:11" ht="19.899999999999999" customHeight="1" x14ac:dyDescent="0.3">
      <c r="K814"/>
    </row>
    <row r="815" spans="11:11" ht="19.899999999999999" customHeight="1" x14ac:dyDescent="0.3">
      <c r="K815"/>
    </row>
    <row r="816" spans="11:11" ht="19.899999999999999" customHeight="1" x14ac:dyDescent="0.3">
      <c r="K816"/>
    </row>
    <row r="817" spans="11:11" ht="19.899999999999999" customHeight="1" x14ac:dyDescent="0.3">
      <c r="K817"/>
    </row>
    <row r="818" spans="11:11" ht="19.899999999999999" customHeight="1" x14ac:dyDescent="0.3">
      <c r="K818"/>
    </row>
    <row r="819" spans="11:11" ht="19.899999999999999" customHeight="1" x14ac:dyDescent="0.3">
      <c r="K819"/>
    </row>
    <row r="820" spans="11:11" ht="19.899999999999999" customHeight="1" x14ac:dyDescent="0.3">
      <c r="K820"/>
    </row>
    <row r="821" spans="11:11" ht="19.899999999999999" customHeight="1" x14ac:dyDescent="0.3">
      <c r="K821"/>
    </row>
    <row r="822" spans="11:11" ht="19.899999999999999" customHeight="1" x14ac:dyDescent="0.3">
      <c r="K822"/>
    </row>
    <row r="823" spans="11:11" ht="19.899999999999999" customHeight="1" x14ac:dyDescent="0.3">
      <c r="K823"/>
    </row>
    <row r="824" spans="11:11" ht="19.899999999999999" customHeight="1" x14ac:dyDescent="0.3">
      <c r="K824"/>
    </row>
    <row r="825" spans="11:11" ht="19.899999999999999" customHeight="1" x14ac:dyDescent="0.3">
      <c r="K825"/>
    </row>
    <row r="826" spans="11:11" ht="19.899999999999999" customHeight="1" x14ac:dyDescent="0.3">
      <c r="K826"/>
    </row>
    <row r="827" spans="11:11" ht="19.899999999999999" customHeight="1" x14ac:dyDescent="0.3">
      <c r="K827"/>
    </row>
    <row r="828" spans="11:11" ht="19.899999999999999" customHeight="1" x14ac:dyDescent="0.3">
      <c r="K828"/>
    </row>
    <row r="829" spans="11:11" ht="19.899999999999999" customHeight="1" x14ac:dyDescent="0.3">
      <c r="K829"/>
    </row>
    <row r="830" spans="11:11" ht="19.899999999999999" customHeight="1" x14ac:dyDescent="0.3">
      <c r="K830"/>
    </row>
    <row r="831" spans="11:11" ht="19.899999999999999" customHeight="1" x14ac:dyDescent="0.3">
      <c r="K831"/>
    </row>
    <row r="832" spans="11:11" ht="19.899999999999999" customHeight="1" x14ac:dyDescent="0.3">
      <c r="K832"/>
    </row>
    <row r="833" spans="11:11" ht="19.899999999999999" customHeight="1" x14ac:dyDescent="0.3">
      <c r="K833"/>
    </row>
    <row r="834" spans="11:11" ht="19.899999999999999" customHeight="1" x14ac:dyDescent="0.3">
      <c r="K834"/>
    </row>
    <row r="835" spans="11:11" ht="19.899999999999999" customHeight="1" x14ac:dyDescent="0.3">
      <c r="K835"/>
    </row>
    <row r="836" spans="11:11" ht="19.899999999999999" customHeight="1" x14ac:dyDescent="0.3">
      <c r="K836"/>
    </row>
    <row r="837" spans="11:11" ht="19.899999999999999" customHeight="1" x14ac:dyDescent="0.3">
      <c r="K837"/>
    </row>
    <row r="838" spans="11:11" ht="19.899999999999999" customHeight="1" x14ac:dyDescent="0.3">
      <c r="K838"/>
    </row>
    <row r="839" spans="11:11" ht="19.899999999999999" customHeight="1" x14ac:dyDescent="0.3">
      <c r="K839"/>
    </row>
    <row r="840" spans="11:11" ht="19.899999999999999" customHeight="1" x14ac:dyDescent="0.3">
      <c r="K840"/>
    </row>
    <row r="841" spans="11:11" ht="19.899999999999999" customHeight="1" x14ac:dyDescent="0.3">
      <c r="K841"/>
    </row>
    <row r="842" spans="11:11" ht="19.899999999999999" customHeight="1" x14ac:dyDescent="0.3">
      <c r="K842"/>
    </row>
    <row r="843" spans="11:11" ht="19.899999999999999" customHeight="1" x14ac:dyDescent="0.3">
      <c r="K843"/>
    </row>
    <row r="844" spans="11:11" ht="19.899999999999999" customHeight="1" x14ac:dyDescent="0.3">
      <c r="K844"/>
    </row>
    <row r="845" spans="11:11" ht="19.899999999999999" customHeight="1" x14ac:dyDescent="0.3">
      <c r="K845"/>
    </row>
    <row r="846" spans="11:11" ht="19.899999999999999" customHeight="1" x14ac:dyDescent="0.3">
      <c r="K846"/>
    </row>
    <row r="847" spans="11:11" ht="19.899999999999999" customHeight="1" x14ac:dyDescent="0.3">
      <c r="K847"/>
    </row>
    <row r="848" spans="11:11" ht="19.899999999999999" customHeight="1" x14ac:dyDescent="0.3">
      <c r="K848"/>
    </row>
    <row r="849" spans="11:11" ht="19.899999999999999" customHeight="1" x14ac:dyDescent="0.3">
      <c r="K849"/>
    </row>
    <row r="850" spans="11:11" ht="19.899999999999999" customHeight="1" x14ac:dyDescent="0.3">
      <c r="K850"/>
    </row>
    <row r="851" spans="11:11" ht="19.899999999999999" customHeight="1" x14ac:dyDescent="0.3">
      <c r="K851"/>
    </row>
    <row r="852" spans="11:11" ht="19.899999999999999" customHeight="1" x14ac:dyDescent="0.3">
      <c r="K852"/>
    </row>
    <row r="853" spans="11:11" ht="19.899999999999999" customHeight="1" x14ac:dyDescent="0.3">
      <c r="K853"/>
    </row>
    <row r="854" spans="11:11" ht="19.899999999999999" customHeight="1" x14ac:dyDescent="0.3">
      <c r="K854"/>
    </row>
    <row r="855" spans="11:11" ht="19.899999999999999" customHeight="1" x14ac:dyDescent="0.3">
      <c r="K855"/>
    </row>
    <row r="856" spans="11:11" ht="19.899999999999999" customHeight="1" x14ac:dyDescent="0.3">
      <c r="K856"/>
    </row>
    <row r="857" spans="11:11" ht="19.899999999999999" customHeight="1" x14ac:dyDescent="0.3">
      <c r="K857"/>
    </row>
    <row r="858" spans="11:11" ht="19.899999999999999" customHeight="1" x14ac:dyDescent="0.3">
      <c r="K858"/>
    </row>
    <row r="859" spans="11:11" ht="19.899999999999999" customHeight="1" x14ac:dyDescent="0.3">
      <c r="K859"/>
    </row>
    <row r="860" spans="11:11" ht="19.899999999999999" customHeight="1" x14ac:dyDescent="0.3">
      <c r="K860"/>
    </row>
    <row r="861" spans="11:11" ht="19.899999999999999" customHeight="1" x14ac:dyDescent="0.3">
      <c r="K861"/>
    </row>
    <row r="862" spans="11:11" ht="19.899999999999999" customHeight="1" x14ac:dyDescent="0.3">
      <c r="K862"/>
    </row>
    <row r="863" spans="11:11" ht="19.899999999999999" customHeight="1" x14ac:dyDescent="0.3">
      <c r="K863"/>
    </row>
    <row r="864" spans="11:11" ht="19.899999999999999" customHeight="1" x14ac:dyDescent="0.3">
      <c r="K864"/>
    </row>
    <row r="865" spans="11:11" ht="19.899999999999999" customHeight="1" x14ac:dyDescent="0.3">
      <c r="K865"/>
    </row>
    <row r="866" spans="11:11" ht="19.899999999999999" customHeight="1" x14ac:dyDescent="0.3">
      <c r="K866"/>
    </row>
    <row r="867" spans="11:11" ht="19.899999999999999" customHeight="1" x14ac:dyDescent="0.3">
      <c r="K867"/>
    </row>
    <row r="868" spans="11:11" ht="19.899999999999999" customHeight="1" x14ac:dyDescent="0.3">
      <c r="K868"/>
    </row>
    <row r="869" spans="11:11" ht="19.899999999999999" customHeight="1" x14ac:dyDescent="0.3">
      <c r="K869"/>
    </row>
    <row r="870" spans="11:11" ht="19.899999999999999" customHeight="1" x14ac:dyDescent="0.3">
      <c r="K870"/>
    </row>
    <row r="871" spans="11:11" ht="19.899999999999999" customHeight="1" x14ac:dyDescent="0.3">
      <c r="K871"/>
    </row>
    <row r="872" spans="11:11" ht="19.899999999999999" customHeight="1" x14ac:dyDescent="0.3">
      <c r="K872"/>
    </row>
    <row r="873" spans="11:11" ht="19.899999999999999" customHeight="1" x14ac:dyDescent="0.3">
      <c r="K873"/>
    </row>
    <row r="874" spans="11:11" ht="19.899999999999999" customHeight="1" x14ac:dyDescent="0.3">
      <c r="K874"/>
    </row>
    <row r="875" spans="11:11" ht="19.899999999999999" customHeight="1" x14ac:dyDescent="0.3">
      <c r="K875"/>
    </row>
    <row r="876" spans="11:11" ht="19.899999999999999" customHeight="1" x14ac:dyDescent="0.3">
      <c r="K876"/>
    </row>
    <row r="877" spans="11:11" ht="19.899999999999999" customHeight="1" x14ac:dyDescent="0.3">
      <c r="K877"/>
    </row>
    <row r="878" spans="11:11" ht="19.899999999999999" customHeight="1" x14ac:dyDescent="0.3">
      <c r="K878"/>
    </row>
    <row r="879" spans="11:11" ht="19.899999999999999" customHeight="1" x14ac:dyDescent="0.3">
      <c r="K879"/>
    </row>
    <row r="880" spans="11:11" ht="19.899999999999999" customHeight="1" x14ac:dyDescent="0.3">
      <c r="K880"/>
    </row>
    <row r="881" spans="11:11" ht="19.899999999999999" customHeight="1" x14ac:dyDescent="0.3">
      <c r="K881"/>
    </row>
    <row r="882" spans="11:11" ht="19.899999999999999" customHeight="1" x14ac:dyDescent="0.3">
      <c r="K882"/>
    </row>
    <row r="883" spans="11:11" ht="19.899999999999999" customHeight="1" x14ac:dyDescent="0.3">
      <c r="K883"/>
    </row>
    <row r="884" spans="11:11" ht="19.899999999999999" customHeight="1" x14ac:dyDescent="0.3">
      <c r="K884"/>
    </row>
    <row r="885" spans="11:11" ht="19.899999999999999" customHeight="1" x14ac:dyDescent="0.3">
      <c r="K885"/>
    </row>
    <row r="886" spans="11:11" ht="19.899999999999999" customHeight="1" x14ac:dyDescent="0.3">
      <c r="K886"/>
    </row>
    <row r="887" spans="11:11" ht="19.899999999999999" customHeight="1" x14ac:dyDescent="0.3">
      <c r="K887"/>
    </row>
    <row r="888" spans="11:11" ht="19.899999999999999" customHeight="1" x14ac:dyDescent="0.3">
      <c r="K888"/>
    </row>
    <row r="889" spans="11:11" ht="19.899999999999999" customHeight="1" x14ac:dyDescent="0.3">
      <c r="K889"/>
    </row>
    <row r="890" spans="11:11" ht="19.899999999999999" customHeight="1" x14ac:dyDescent="0.3">
      <c r="K890"/>
    </row>
    <row r="891" spans="11:11" ht="19.899999999999999" customHeight="1" x14ac:dyDescent="0.3">
      <c r="K891"/>
    </row>
    <row r="892" spans="11:11" ht="19.899999999999999" customHeight="1" x14ac:dyDescent="0.3">
      <c r="K892"/>
    </row>
    <row r="893" spans="11:11" ht="19.899999999999999" customHeight="1" x14ac:dyDescent="0.3">
      <c r="K893"/>
    </row>
    <row r="894" spans="11:11" ht="19.899999999999999" customHeight="1" x14ac:dyDescent="0.3">
      <c r="K894"/>
    </row>
    <row r="895" spans="11:11" ht="19.899999999999999" customHeight="1" x14ac:dyDescent="0.3">
      <c r="K895"/>
    </row>
    <row r="896" spans="11:11" ht="19.899999999999999" customHeight="1" x14ac:dyDescent="0.3">
      <c r="K896"/>
    </row>
    <row r="897" spans="11:11" ht="19.899999999999999" customHeight="1" x14ac:dyDescent="0.3">
      <c r="K897"/>
    </row>
    <row r="898" spans="11:11" ht="19.899999999999999" customHeight="1" x14ac:dyDescent="0.3">
      <c r="K898"/>
    </row>
    <row r="899" spans="11:11" ht="19.899999999999999" customHeight="1" x14ac:dyDescent="0.3">
      <c r="K899"/>
    </row>
    <row r="900" spans="11:11" ht="19.899999999999999" customHeight="1" x14ac:dyDescent="0.3">
      <c r="K900"/>
    </row>
    <row r="901" spans="11:11" ht="19.899999999999999" customHeight="1" x14ac:dyDescent="0.3">
      <c r="K901"/>
    </row>
    <row r="902" spans="11:11" ht="19.899999999999999" customHeight="1" x14ac:dyDescent="0.3">
      <c r="K902"/>
    </row>
    <row r="903" spans="11:11" ht="19.899999999999999" customHeight="1" x14ac:dyDescent="0.3">
      <c r="K903"/>
    </row>
    <row r="904" spans="11:11" ht="19.899999999999999" customHeight="1" x14ac:dyDescent="0.3">
      <c r="K904"/>
    </row>
    <row r="905" spans="11:11" ht="19.899999999999999" customHeight="1" x14ac:dyDescent="0.3">
      <c r="K905"/>
    </row>
    <row r="906" spans="11:11" ht="19.899999999999999" customHeight="1" x14ac:dyDescent="0.3">
      <c r="K906"/>
    </row>
    <row r="907" spans="11:11" ht="19.899999999999999" customHeight="1" x14ac:dyDescent="0.3">
      <c r="K907"/>
    </row>
    <row r="908" spans="11:11" ht="19.899999999999999" customHeight="1" x14ac:dyDescent="0.3">
      <c r="K908"/>
    </row>
    <row r="909" spans="11:11" ht="19.899999999999999" customHeight="1" x14ac:dyDescent="0.3">
      <c r="K909"/>
    </row>
    <row r="910" spans="11:11" ht="19.899999999999999" customHeight="1" x14ac:dyDescent="0.3">
      <c r="K910"/>
    </row>
    <row r="911" spans="11:11" ht="19.899999999999999" customHeight="1" x14ac:dyDescent="0.3">
      <c r="K911"/>
    </row>
    <row r="912" spans="11:11" ht="19.899999999999999" customHeight="1" x14ac:dyDescent="0.3">
      <c r="K912"/>
    </row>
    <row r="913" spans="11:11" ht="19.899999999999999" customHeight="1" x14ac:dyDescent="0.3">
      <c r="K913"/>
    </row>
    <row r="914" spans="11:11" ht="19.899999999999999" customHeight="1" x14ac:dyDescent="0.3">
      <c r="K914"/>
    </row>
    <row r="915" spans="11:11" ht="19.899999999999999" customHeight="1" x14ac:dyDescent="0.3">
      <c r="K915"/>
    </row>
    <row r="916" spans="11:11" ht="19.899999999999999" customHeight="1" x14ac:dyDescent="0.3">
      <c r="K916"/>
    </row>
    <row r="917" spans="11:11" ht="19.899999999999999" customHeight="1" x14ac:dyDescent="0.3">
      <c r="K917"/>
    </row>
    <row r="918" spans="11:11" ht="19.899999999999999" customHeight="1" x14ac:dyDescent="0.3">
      <c r="K918"/>
    </row>
    <row r="919" spans="11:11" ht="19.899999999999999" customHeight="1" x14ac:dyDescent="0.3">
      <c r="K919"/>
    </row>
    <row r="920" spans="11:11" ht="19.899999999999999" customHeight="1" x14ac:dyDescent="0.3">
      <c r="K920"/>
    </row>
    <row r="921" spans="11:11" ht="19.899999999999999" customHeight="1" x14ac:dyDescent="0.3">
      <c r="K921"/>
    </row>
    <row r="922" spans="11:11" ht="19.899999999999999" customHeight="1" x14ac:dyDescent="0.3">
      <c r="K922"/>
    </row>
    <row r="923" spans="11:11" ht="19.899999999999999" customHeight="1" x14ac:dyDescent="0.3">
      <c r="K923"/>
    </row>
    <row r="924" spans="11:11" ht="19.899999999999999" customHeight="1" x14ac:dyDescent="0.3">
      <c r="K924"/>
    </row>
    <row r="925" spans="11:11" ht="19.899999999999999" customHeight="1" x14ac:dyDescent="0.3">
      <c r="K925"/>
    </row>
    <row r="926" spans="11:11" ht="19.899999999999999" customHeight="1" x14ac:dyDescent="0.3">
      <c r="K926"/>
    </row>
    <row r="927" spans="11:11" ht="19.899999999999999" customHeight="1" x14ac:dyDescent="0.3">
      <c r="K927"/>
    </row>
    <row r="928" spans="11:11" ht="19.899999999999999" customHeight="1" x14ac:dyDescent="0.3">
      <c r="K928"/>
    </row>
    <row r="929" spans="11:11" ht="19.899999999999999" customHeight="1" x14ac:dyDescent="0.3">
      <c r="K929"/>
    </row>
    <row r="930" spans="11:11" ht="19.899999999999999" customHeight="1" x14ac:dyDescent="0.3">
      <c r="K930"/>
    </row>
    <row r="931" spans="11:11" ht="19.899999999999999" customHeight="1" x14ac:dyDescent="0.3">
      <c r="K931"/>
    </row>
    <row r="932" spans="11:11" ht="19.899999999999999" customHeight="1" x14ac:dyDescent="0.3">
      <c r="K932"/>
    </row>
    <row r="933" spans="11:11" ht="19.899999999999999" customHeight="1" x14ac:dyDescent="0.3">
      <c r="K933"/>
    </row>
    <row r="934" spans="11:11" ht="19.899999999999999" customHeight="1" x14ac:dyDescent="0.3">
      <c r="K934"/>
    </row>
    <row r="935" spans="11:11" ht="19.899999999999999" customHeight="1" x14ac:dyDescent="0.3">
      <c r="K935"/>
    </row>
    <row r="936" spans="11:11" ht="19.899999999999999" customHeight="1" x14ac:dyDescent="0.3">
      <c r="K936"/>
    </row>
    <row r="937" spans="11:11" ht="19.899999999999999" customHeight="1" x14ac:dyDescent="0.3">
      <c r="K937"/>
    </row>
    <row r="938" spans="11:11" ht="19.899999999999999" customHeight="1" x14ac:dyDescent="0.3">
      <c r="K938"/>
    </row>
    <row r="939" spans="11:11" ht="19.899999999999999" customHeight="1" x14ac:dyDescent="0.3">
      <c r="K939"/>
    </row>
    <row r="940" spans="11:11" ht="19.899999999999999" customHeight="1" x14ac:dyDescent="0.3">
      <c r="K940"/>
    </row>
    <row r="941" spans="11:11" ht="19.899999999999999" customHeight="1" x14ac:dyDescent="0.3">
      <c r="K941"/>
    </row>
    <row r="942" spans="11:11" ht="19.899999999999999" customHeight="1" x14ac:dyDescent="0.3">
      <c r="K942"/>
    </row>
    <row r="943" spans="11:11" ht="19.899999999999999" customHeight="1" x14ac:dyDescent="0.3">
      <c r="K943"/>
    </row>
    <row r="944" spans="11:11" ht="19.899999999999999" customHeight="1" x14ac:dyDescent="0.3">
      <c r="K944"/>
    </row>
    <row r="945" spans="11:11" ht="19.899999999999999" customHeight="1" x14ac:dyDescent="0.3">
      <c r="K945"/>
    </row>
    <row r="946" spans="11:11" ht="19.899999999999999" customHeight="1" x14ac:dyDescent="0.3">
      <c r="K946"/>
    </row>
    <row r="947" spans="11:11" ht="19.899999999999999" customHeight="1" x14ac:dyDescent="0.3">
      <c r="K947"/>
    </row>
    <row r="948" spans="11:11" ht="19.899999999999999" customHeight="1" x14ac:dyDescent="0.3">
      <c r="K948"/>
    </row>
    <row r="949" spans="11:11" ht="19.899999999999999" customHeight="1" x14ac:dyDescent="0.3">
      <c r="K949"/>
    </row>
    <row r="950" spans="11:11" ht="19.899999999999999" customHeight="1" x14ac:dyDescent="0.3">
      <c r="K950"/>
    </row>
    <row r="951" spans="11:11" ht="19.899999999999999" customHeight="1" x14ac:dyDescent="0.3">
      <c r="K951"/>
    </row>
    <row r="952" spans="11:11" ht="19.899999999999999" customHeight="1" x14ac:dyDescent="0.3">
      <c r="K952"/>
    </row>
    <row r="953" spans="11:11" ht="19.899999999999999" customHeight="1" x14ac:dyDescent="0.3">
      <c r="K953"/>
    </row>
    <row r="954" spans="11:11" ht="19.899999999999999" customHeight="1" x14ac:dyDescent="0.3">
      <c r="K954"/>
    </row>
    <row r="955" spans="11:11" ht="19.899999999999999" customHeight="1" x14ac:dyDescent="0.3">
      <c r="K955"/>
    </row>
    <row r="956" spans="11:11" ht="19.899999999999999" customHeight="1" x14ac:dyDescent="0.3">
      <c r="K956"/>
    </row>
    <row r="957" spans="11:11" ht="19.899999999999999" customHeight="1" x14ac:dyDescent="0.3">
      <c r="K957"/>
    </row>
    <row r="958" spans="11:11" ht="19.899999999999999" customHeight="1" x14ac:dyDescent="0.3">
      <c r="K958"/>
    </row>
    <row r="959" spans="11:11" ht="19.899999999999999" customHeight="1" x14ac:dyDescent="0.3">
      <c r="K959"/>
    </row>
    <row r="960" spans="11:11" ht="19.899999999999999" customHeight="1" x14ac:dyDescent="0.3">
      <c r="K960"/>
    </row>
    <row r="961" spans="11:11" ht="19.899999999999999" customHeight="1" x14ac:dyDescent="0.3">
      <c r="K961"/>
    </row>
    <row r="962" spans="11:11" ht="19.899999999999999" customHeight="1" x14ac:dyDescent="0.3">
      <c r="K962"/>
    </row>
    <row r="963" spans="11:11" ht="19.899999999999999" customHeight="1" x14ac:dyDescent="0.3">
      <c r="K963"/>
    </row>
    <row r="964" spans="11:11" ht="19.899999999999999" customHeight="1" x14ac:dyDescent="0.3">
      <c r="K964"/>
    </row>
    <row r="965" spans="11:11" ht="19.899999999999999" customHeight="1" x14ac:dyDescent="0.3">
      <c r="K965"/>
    </row>
    <row r="966" spans="11:11" ht="19.899999999999999" customHeight="1" x14ac:dyDescent="0.3">
      <c r="K966"/>
    </row>
    <row r="967" spans="11:11" ht="19.899999999999999" customHeight="1" x14ac:dyDescent="0.3">
      <c r="K967"/>
    </row>
    <row r="968" spans="11:11" ht="19.899999999999999" customHeight="1" x14ac:dyDescent="0.3">
      <c r="K968"/>
    </row>
    <row r="969" spans="11:11" ht="19.899999999999999" customHeight="1" x14ac:dyDescent="0.3">
      <c r="K969"/>
    </row>
    <row r="970" spans="11:11" ht="19.899999999999999" customHeight="1" x14ac:dyDescent="0.3">
      <c r="K970"/>
    </row>
    <row r="971" spans="11:11" ht="19.899999999999999" customHeight="1" x14ac:dyDescent="0.3">
      <c r="K971"/>
    </row>
    <row r="972" spans="11:11" ht="19.899999999999999" customHeight="1" x14ac:dyDescent="0.3">
      <c r="K972"/>
    </row>
    <row r="973" spans="11:11" ht="19.899999999999999" customHeight="1" x14ac:dyDescent="0.3">
      <c r="K973"/>
    </row>
    <row r="974" spans="11:11" ht="19.899999999999999" customHeight="1" x14ac:dyDescent="0.3">
      <c r="K974"/>
    </row>
    <row r="975" spans="11:11" ht="19.899999999999999" customHeight="1" x14ac:dyDescent="0.3">
      <c r="K975"/>
    </row>
    <row r="976" spans="11:11" ht="19.899999999999999" customHeight="1" x14ac:dyDescent="0.3">
      <c r="K976"/>
    </row>
    <row r="977" spans="11:11" ht="19.899999999999999" customHeight="1" x14ac:dyDescent="0.3">
      <c r="K977"/>
    </row>
    <row r="978" spans="11:11" ht="19.899999999999999" customHeight="1" x14ac:dyDescent="0.3">
      <c r="K978"/>
    </row>
    <row r="979" spans="11:11" ht="19.899999999999999" customHeight="1" x14ac:dyDescent="0.3">
      <c r="K979"/>
    </row>
    <row r="980" spans="11:11" ht="19.899999999999999" customHeight="1" x14ac:dyDescent="0.3">
      <c r="K980"/>
    </row>
    <row r="981" spans="11:11" ht="19.899999999999999" customHeight="1" x14ac:dyDescent="0.3">
      <c r="K981"/>
    </row>
    <row r="982" spans="11:11" ht="19.899999999999999" customHeight="1" x14ac:dyDescent="0.3">
      <c r="K982"/>
    </row>
    <row r="983" spans="11:11" ht="19.899999999999999" customHeight="1" x14ac:dyDescent="0.3">
      <c r="K983"/>
    </row>
    <row r="984" spans="11:11" ht="19.899999999999999" customHeight="1" x14ac:dyDescent="0.3">
      <c r="K984"/>
    </row>
    <row r="985" spans="11:11" ht="19.899999999999999" customHeight="1" x14ac:dyDescent="0.3">
      <c r="K985"/>
    </row>
    <row r="986" spans="11:11" ht="19.899999999999999" customHeight="1" x14ac:dyDescent="0.3">
      <c r="K986"/>
    </row>
    <row r="987" spans="11:11" ht="19.899999999999999" customHeight="1" x14ac:dyDescent="0.3">
      <c r="K987"/>
    </row>
    <row r="988" spans="11:11" ht="19.899999999999999" customHeight="1" x14ac:dyDescent="0.3">
      <c r="K988"/>
    </row>
    <row r="989" spans="11:11" ht="19.899999999999999" customHeight="1" x14ac:dyDescent="0.3">
      <c r="K989"/>
    </row>
    <row r="990" spans="11:11" ht="19.899999999999999" customHeight="1" x14ac:dyDescent="0.3">
      <c r="K990"/>
    </row>
    <row r="991" spans="11:11" ht="19.899999999999999" customHeight="1" x14ac:dyDescent="0.3">
      <c r="K991"/>
    </row>
    <row r="992" spans="11:11" ht="19.899999999999999" customHeight="1" x14ac:dyDescent="0.3">
      <c r="K992"/>
    </row>
    <row r="993" spans="11:11" ht="19.899999999999999" customHeight="1" x14ac:dyDescent="0.3">
      <c r="K993"/>
    </row>
    <row r="994" spans="11:11" ht="19.899999999999999" customHeight="1" x14ac:dyDescent="0.3">
      <c r="K994"/>
    </row>
    <row r="995" spans="11:11" ht="19.899999999999999" customHeight="1" x14ac:dyDescent="0.3">
      <c r="K995"/>
    </row>
    <row r="996" spans="11:11" ht="19.899999999999999" customHeight="1" x14ac:dyDescent="0.3">
      <c r="K996"/>
    </row>
    <row r="997" spans="11:11" ht="19.899999999999999" customHeight="1" x14ac:dyDescent="0.3">
      <c r="K997"/>
    </row>
    <row r="998" spans="11:11" ht="19.899999999999999" customHeight="1" x14ac:dyDescent="0.3">
      <c r="K998"/>
    </row>
    <row r="999" spans="11:11" ht="19.899999999999999" customHeight="1" x14ac:dyDescent="0.3">
      <c r="K999"/>
    </row>
    <row r="1000" spans="11:11" ht="19.899999999999999" customHeight="1" x14ac:dyDescent="0.3">
      <c r="K1000"/>
    </row>
    <row r="1001" spans="11:11" ht="19.899999999999999" customHeight="1" x14ac:dyDescent="0.3">
      <c r="K1001"/>
    </row>
    <row r="1002" spans="11:11" ht="19.899999999999999" customHeight="1" x14ac:dyDescent="0.3">
      <c r="K1002"/>
    </row>
    <row r="1003" spans="11:11" ht="19.899999999999999" customHeight="1" x14ac:dyDescent="0.3">
      <c r="K1003"/>
    </row>
    <row r="1004" spans="11:11" ht="19.899999999999999" customHeight="1" x14ac:dyDescent="0.3">
      <c r="K1004"/>
    </row>
    <row r="1005" spans="11:11" ht="19.899999999999999" customHeight="1" x14ac:dyDescent="0.3">
      <c r="K1005"/>
    </row>
    <row r="1006" spans="11:11" ht="19.899999999999999" customHeight="1" x14ac:dyDescent="0.3">
      <c r="K1006"/>
    </row>
    <row r="1007" spans="11:11" ht="19.899999999999999" customHeight="1" x14ac:dyDescent="0.3">
      <c r="K1007"/>
    </row>
    <row r="1008" spans="11:11" ht="19.899999999999999" customHeight="1" x14ac:dyDescent="0.3">
      <c r="K1008"/>
    </row>
    <row r="1009" spans="11:11" ht="19.899999999999999" customHeight="1" x14ac:dyDescent="0.3">
      <c r="K1009"/>
    </row>
    <row r="1010" spans="11:11" ht="19.899999999999999" customHeight="1" x14ac:dyDescent="0.3">
      <c r="K1010"/>
    </row>
    <row r="1011" spans="11:11" ht="19.899999999999999" customHeight="1" x14ac:dyDescent="0.3">
      <c r="K1011"/>
    </row>
    <row r="1012" spans="11:11" ht="19.899999999999999" customHeight="1" x14ac:dyDescent="0.3">
      <c r="K1012"/>
    </row>
    <row r="1013" spans="11:11" ht="19.899999999999999" customHeight="1" x14ac:dyDescent="0.3">
      <c r="K1013"/>
    </row>
    <row r="1014" spans="11:11" ht="19.899999999999999" customHeight="1" x14ac:dyDescent="0.3">
      <c r="K1014"/>
    </row>
    <row r="1015" spans="11:11" ht="19.899999999999999" customHeight="1" x14ac:dyDescent="0.3">
      <c r="K1015"/>
    </row>
    <row r="1016" spans="11:11" ht="19.899999999999999" customHeight="1" x14ac:dyDescent="0.3">
      <c r="K1016"/>
    </row>
    <row r="1017" spans="11:11" ht="19.899999999999999" customHeight="1" x14ac:dyDescent="0.3">
      <c r="K1017"/>
    </row>
    <row r="1018" spans="11:11" ht="19.899999999999999" customHeight="1" x14ac:dyDescent="0.3">
      <c r="K1018"/>
    </row>
    <row r="1019" spans="11:11" ht="19.899999999999999" customHeight="1" x14ac:dyDescent="0.3">
      <c r="K1019"/>
    </row>
    <row r="1020" spans="11:11" ht="19.899999999999999" customHeight="1" x14ac:dyDescent="0.3">
      <c r="K1020"/>
    </row>
    <row r="1021" spans="11:11" ht="19.899999999999999" customHeight="1" x14ac:dyDescent="0.3">
      <c r="K1021"/>
    </row>
    <row r="1022" spans="11:11" ht="19.899999999999999" customHeight="1" x14ac:dyDescent="0.3">
      <c r="K1022"/>
    </row>
    <row r="1023" spans="11:11" ht="19.899999999999999" customHeight="1" x14ac:dyDescent="0.3">
      <c r="K1023"/>
    </row>
    <row r="1024" spans="11:11" ht="19.899999999999999" customHeight="1" x14ac:dyDescent="0.3">
      <c r="K1024"/>
    </row>
    <row r="1025" spans="11:11" ht="19.899999999999999" customHeight="1" x14ac:dyDescent="0.3">
      <c r="K1025"/>
    </row>
    <row r="1026" spans="11:11" ht="19.899999999999999" customHeight="1" x14ac:dyDescent="0.3">
      <c r="K1026"/>
    </row>
    <row r="1027" spans="11:11" ht="19.899999999999999" customHeight="1" x14ac:dyDescent="0.3">
      <c r="K1027"/>
    </row>
    <row r="1028" spans="11:11" ht="19.899999999999999" customHeight="1" x14ac:dyDescent="0.3">
      <c r="K1028"/>
    </row>
    <row r="1029" spans="11:11" ht="19.899999999999999" customHeight="1" x14ac:dyDescent="0.3">
      <c r="K1029"/>
    </row>
    <row r="1030" spans="11:11" ht="19.899999999999999" customHeight="1" x14ac:dyDescent="0.3">
      <c r="K1030"/>
    </row>
    <row r="1031" spans="11:11" ht="19.899999999999999" customHeight="1" x14ac:dyDescent="0.3">
      <c r="K1031"/>
    </row>
    <row r="1032" spans="11:11" ht="19.899999999999999" customHeight="1" x14ac:dyDescent="0.3">
      <c r="K1032"/>
    </row>
    <row r="1033" spans="11:11" ht="19.899999999999999" customHeight="1" x14ac:dyDescent="0.3">
      <c r="K1033"/>
    </row>
    <row r="1034" spans="11:11" ht="19.899999999999999" customHeight="1" x14ac:dyDescent="0.3">
      <c r="K1034"/>
    </row>
    <row r="1035" spans="11:11" ht="19.899999999999999" customHeight="1" x14ac:dyDescent="0.3">
      <c r="K1035"/>
    </row>
    <row r="1036" spans="11:11" ht="19.899999999999999" customHeight="1" x14ac:dyDescent="0.3">
      <c r="K1036"/>
    </row>
    <row r="1037" spans="11:11" ht="19.899999999999999" customHeight="1" x14ac:dyDescent="0.3">
      <c r="K1037"/>
    </row>
    <row r="1038" spans="11:11" ht="19.899999999999999" customHeight="1" x14ac:dyDescent="0.3">
      <c r="K1038"/>
    </row>
    <row r="1039" spans="11:11" ht="19.899999999999999" customHeight="1" x14ac:dyDescent="0.3">
      <c r="K1039"/>
    </row>
    <row r="1040" spans="11:11" ht="19.899999999999999" customHeight="1" x14ac:dyDescent="0.3">
      <c r="K1040"/>
    </row>
    <row r="1041" spans="11:11" ht="19.899999999999999" customHeight="1" x14ac:dyDescent="0.3">
      <c r="K1041"/>
    </row>
    <row r="1042" spans="11:11" ht="19.899999999999999" customHeight="1" x14ac:dyDescent="0.3">
      <c r="K1042"/>
    </row>
    <row r="1043" spans="11:11" ht="19.899999999999999" customHeight="1" x14ac:dyDescent="0.3">
      <c r="K1043"/>
    </row>
    <row r="1044" spans="11:11" ht="19.899999999999999" customHeight="1" x14ac:dyDescent="0.3">
      <c r="K1044"/>
    </row>
    <row r="1045" spans="11:11" ht="19.899999999999999" customHeight="1" x14ac:dyDescent="0.3">
      <c r="K1045"/>
    </row>
    <row r="1046" spans="11:11" ht="19.899999999999999" customHeight="1" x14ac:dyDescent="0.3">
      <c r="K1046"/>
    </row>
    <row r="1047" spans="11:11" ht="19.899999999999999" customHeight="1" x14ac:dyDescent="0.3">
      <c r="K1047"/>
    </row>
    <row r="1048" spans="11:11" ht="19.899999999999999" customHeight="1" x14ac:dyDescent="0.3">
      <c r="K1048"/>
    </row>
    <row r="1049" spans="11:11" ht="19.899999999999999" customHeight="1" x14ac:dyDescent="0.3">
      <c r="K1049"/>
    </row>
    <row r="1050" spans="11:11" ht="19.899999999999999" customHeight="1" x14ac:dyDescent="0.3">
      <c r="K1050"/>
    </row>
    <row r="1051" spans="11:11" ht="19.899999999999999" customHeight="1" x14ac:dyDescent="0.3">
      <c r="K1051"/>
    </row>
    <row r="1052" spans="11:11" ht="19.899999999999999" customHeight="1" x14ac:dyDescent="0.3">
      <c r="K1052"/>
    </row>
    <row r="1053" spans="11:11" ht="19.899999999999999" customHeight="1" x14ac:dyDescent="0.3">
      <c r="K1053"/>
    </row>
    <row r="1054" spans="11:11" ht="19.899999999999999" customHeight="1" x14ac:dyDescent="0.3">
      <c r="K1054"/>
    </row>
    <row r="1055" spans="11:11" ht="19.899999999999999" customHeight="1" x14ac:dyDescent="0.3">
      <c r="K1055"/>
    </row>
    <row r="1056" spans="11:11" ht="19.899999999999999" customHeight="1" x14ac:dyDescent="0.3">
      <c r="K1056"/>
    </row>
    <row r="1057" spans="11:11" ht="19.899999999999999" customHeight="1" x14ac:dyDescent="0.3">
      <c r="K1057"/>
    </row>
    <row r="1058" spans="11:11" ht="19.899999999999999" customHeight="1" x14ac:dyDescent="0.3">
      <c r="K1058"/>
    </row>
    <row r="1059" spans="11:11" ht="19.899999999999999" customHeight="1" x14ac:dyDescent="0.3">
      <c r="K1059"/>
    </row>
    <row r="1060" spans="11:11" ht="19.899999999999999" customHeight="1" x14ac:dyDescent="0.3">
      <c r="K1060"/>
    </row>
    <row r="1061" spans="11:11" ht="19.899999999999999" customHeight="1" x14ac:dyDescent="0.3">
      <c r="K1061"/>
    </row>
    <row r="1062" spans="11:11" ht="19.899999999999999" customHeight="1" x14ac:dyDescent="0.3">
      <c r="K1062"/>
    </row>
    <row r="1063" spans="11:11" ht="19.899999999999999" customHeight="1" x14ac:dyDescent="0.3">
      <c r="K1063"/>
    </row>
    <row r="1064" spans="11:11" ht="19.899999999999999" customHeight="1" x14ac:dyDescent="0.3">
      <c r="K1064"/>
    </row>
    <row r="1065" spans="11:11" ht="19.899999999999999" customHeight="1" x14ac:dyDescent="0.3">
      <c r="K1065"/>
    </row>
    <row r="1066" spans="11:11" ht="19.899999999999999" customHeight="1" x14ac:dyDescent="0.3">
      <c r="K1066"/>
    </row>
    <row r="1067" spans="11:11" ht="19.899999999999999" customHeight="1" x14ac:dyDescent="0.3">
      <c r="K1067"/>
    </row>
    <row r="1068" spans="11:11" ht="19.899999999999999" customHeight="1" x14ac:dyDescent="0.3">
      <c r="K1068"/>
    </row>
    <row r="1069" spans="11:11" ht="19.899999999999999" customHeight="1" x14ac:dyDescent="0.3">
      <c r="K1069"/>
    </row>
    <row r="1070" spans="11:11" ht="19.899999999999999" customHeight="1" x14ac:dyDescent="0.3">
      <c r="K1070"/>
    </row>
    <row r="1071" spans="11:11" ht="19.899999999999999" customHeight="1" x14ac:dyDescent="0.3">
      <c r="K1071"/>
    </row>
    <row r="1072" spans="11:11" ht="19.899999999999999" customHeight="1" x14ac:dyDescent="0.3">
      <c r="K1072"/>
    </row>
    <row r="1073" spans="11:11" ht="19.899999999999999" customHeight="1" x14ac:dyDescent="0.3">
      <c r="K1073"/>
    </row>
    <row r="1074" spans="11:11" ht="19.899999999999999" customHeight="1" x14ac:dyDescent="0.3">
      <c r="K1074"/>
    </row>
    <row r="1075" spans="11:11" ht="19.899999999999999" customHeight="1" x14ac:dyDescent="0.3">
      <c r="K1075"/>
    </row>
    <row r="1076" spans="11:11" ht="19.899999999999999" customHeight="1" x14ac:dyDescent="0.3">
      <c r="K1076"/>
    </row>
    <row r="1077" spans="11:11" ht="19.899999999999999" customHeight="1" x14ac:dyDescent="0.3">
      <c r="K1077"/>
    </row>
    <row r="1078" spans="11:11" ht="19.899999999999999" customHeight="1" x14ac:dyDescent="0.3">
      <c r="K1078"/>
    </row>
    <row r="1079" spans="11:11" ht="19.899999999999999" customHeight="1" x14ac:dyDescent="0.3">
      <c r="K1079"/>
    </row>
    <row r="1080" spans="11:11" ht="19.899999999999999" customHeight="1" x14ac:dyDescent="0.3">
      <c r="K1080"/>
    </row>
    <row r="1081" spans="11:11" ht="19.899999999999999" customHeight="1" x14ac:dyDescent="0.3">
      <c r="K1081"/>
    </row>
    <row r="1082" spans="11:11" ht="19.899999999999999" customHeight="1" x14ac:dyDescent="0.3">
      <c r="K1082"/>
    </row>
    <row r="1083" spans="11:11" ht="19.899999999999999" customHeight="1" x14ac:dyDescent="0.3">
      <c r="K1083"/>
    </row>
    <row r="1084" spans="11:11" ht="19.899999999999999" customHeight="1" x14ac:dyDescent="0.3">
      <c r="K1084"/>
    </row>
    <row r="1085" spans="11:11" ht="19.899999999999999" customHeight="1" x14ac:dyDescent="0.3">
      <c r="K1085"/>
    </row>
    <row r="1086" spans="11:11" ht="19.899999999999999" customHeight="1" x14ac:dyDescent="0.3">
      <c r="K1086"/>
    </row>
    <row r="1087" spans="11:11" ht="19.899999999999999" customHeight="1" x14ac:dyDescent="0.3">
      <c r="K1087"/>
    </row>
    <row r="1088" spans="11:11" ht="19.899999999999999" customHeight="1" x14ac:dyDescent="0.3">
      <c r="K1088"/>
    </row>
    <row r="1089" spans="11:11" ht="19.899999999999999" customHeight="1" x14ac:dyDescent="0.3">
      <c r="K1089"/>
    </row>
    <row r="1090" spans="11:11" ht="19.899999999999999" customHeight="1" x14ac:dyDescent="0.3">
      <c r="K1090"/>
    </row>
    <row r="1091" spans="11:11" ht="19.899999999999999" customHeight="1" x14ac:dyDescent="0.3">
      <c r="K1091"/>
    </row>
    <row r="1092" spans="11:11" ht="19.899999999999999" customHeight="1" x14ac:dyDescent="0.3">
      <c r="K1092"/>
    </row>
    <row r="1093" spans="11:11" ht="19.899999999999999" customHeight="1" x14ac:dyDescent="0.3">
      <c r="K1093"/>
    </row>
    <row r="1094" spans="11:11" ht="19.899999999999999" customHeight="1" x14ac:dyDescent="0.3">
      <c r="K1094"/>
    </row>
    <row r="1095" spans="11:11" ht="19.899999999999999" customHeight="1" x14ac:dyDescent="0.3">
      <c r="K1095"/>
    </row>
    <row r="1096" spans="11:11" ht="19.899999999999999" customHeight="1" x14ac:dyDescent="0.3">
      <c r="K1096"/>
    </row>
    <row r="1097" spans="11:11" ht="19.899999999999999" customHeight="1" x14ac:dyDescent="0.3">
      <c r="K1097"/>
    </row>
    <row r="1098" spans="11:11" ht="19.899999999999999" customHeight="1" x14ac:dyDescent="0.3">
      <c r="K1098"/>
    </row>
    <row r="1099" spans="11:11" ht="19.899999999999999" customHeight="1" x14ac:dyDescent="0.3">
      <c r="K1099"/>
    </row>
    <row r="1100" spans="11:11" ht="19.899999999999999" customHeight="1" x14ac:dyDescent="0.3">
      <c r="K1100"/>
    </row>
    <row r="1101" spans="11:11" ht="19.899999999999999" customHeight="1" x14ac:dyDescent="0.3">
      <c r="K1101"/>
    </row>
    <row r="1102" spans="11:11" ht="19.899999999999999" customHeight="1" x14ac:dyDescent="0.3">
      <c r="K1102"/>
    </row>
    <row r="1103" spans="11:11" ht="19.899999999999999" customHeight="1" x14ac:dyDescent="0.3">
      <c r="K1103"/>
    </row>
    <row r="1104" spans="11:11" ht="19.899999999999999" customHeight="1" x14ac:dyDescent="0.3">
      <c r="K1104"/>
    </row>
    <row r="1105" spans="11:11" ht="19.899999999999999" customHeight="1" x14ac:dyDescent="0.3">
      <c r="K1105"/>
    </row>
    <row r="1106" spans="11:11" ht="19.899999999999999" customHeight="1" x14ac:dyDescent="0.3">
      <c r="K1106"/>
    </row>
    <row r="1107" spans="11:11" ht="19.899999999999999" customHeight="1" x14ac:dyDescent="0.3">
      <c r="K1107"/>
    </row>
    <row r="1108" spans="11:11" ht="19.899999999999999" customHeight="1" x14ac:dyDescent="0.3">
      <c r="K1108"/>
    </row>
    <row r="1109" spans="11:11" ht="19.899999999999999" customHeight="1" x14ac:dyDescent="0.3">
      <c r="K1109"/>
    </row>
    <row r="1110" spans="11:11" ht="19.899999999999999" customHeight="1" x14ac:dyDescent="0.3">
      <c r="K1110"/>
    </row>
    <row r="1111" spans="11:11" ht="19.899999999999999" customHeight="1" x14ac:dyDescent="0.3">
      <c r="K1111"/>
    </row>
    <row r="1112" spans="11:11" ht="19.899999999999999" customHeight="1" x14ac:dyDescent="0.3">
      <c r="K1112"/>
    </row>
    <row r="1113" spans="11:11" ht="19.899999999999999" customHeight="1" x14ac:dyDescent="0.3">
      <c r="K1113"/>
    </row>
    <row r="1114" spans="11:11" ht="19.899999999999999" customHeight="1" x14ac:dyDescent="0.3">
      <c r="K1114"/>
    </row>
    <row r="1115" spans="11:11" ht="19.899999999999999" customHeight="1" x14ac:dyDescent="0.3">
      <c r="K1115"/>
    </row>
    <row r="1116" spans="11:11" ht="19.899999999999999" customHeight="1" x14ac:dyDescent="0.3">
      <c r="K1116"/>
    </row>
    <row r="1117" spans="11:11" ht="19.899999999999999" customHeight="1" x14ac:dyDescent="0.3">
      <c r="K1117"/>
    </row>
    <row r="1118" spans="11:11" ht="19.899999999999999" customHeight="1" x14ac:dyDescent="0.3">
      <c r="K1118"/>
    </row>
    <row r="1119" spans="11:11" ht="19.899999999999999" customHeight="1" x14ac:dyDescent="0.3">
      <c r="K1119"/>
    </row>
    <row r="1120" spans="11:11" ht="19.899999999999999" customHeight="1" x14ac:dyDescent="0.3">
      <c r="K1120"/>
    </row>
    <row r="1121" spans="11:11" ht="19.899999999999999" customHeight="1" x14ac:dyDescent="0.3">
      <c r="K1121"/>
    </row>
    <row r="1122" spans="11:11" ht="19.899999999999999" customHeight="1" x14ac:dyDescent="0.3">
      <c r="K1122"/>
    </row>
    <row r="1123" spans="11:11" ht="19.899999999999999" customHeight="1" x14ac:dyDescent="0.3">
      <c r="K1123"/>
    </row>
    <row r="1124" spans="11:11" ht="19.899999999999999" customHeight="1" x14ac:dyDescent="0.3">
      <c r="K1124"/>
    </row>
    <row r="1125" spans="11:11" ht="19.899999999999999" customHeight="1" x14ac:dyDescent="0.3">
      <c r="K1125"/>
    </row>
    <row r="1126" spans="11:11" ht="19.899999999999999" customHeight="1" x14ac:dyDescent="0.3">
      <c r="K1126"/>
    </row>
    <row r="1127" spans="11:11" ht="19.899999999999999" customHeight="1" x14ac:dyDescent="0.3">
      <c r="K1127"/>
    </row>
    <row r="1128" spans="11:11" ht="19.899999999999999" customHeight="1" x14ac:dyDescent="0.3">
      <c r="K1128"/>
    </row>
    <row r="1129" spans="11:11" ht="19.899999999999999" customHeight="1" x14ac:dyDescent="0.3">
      <c r="K1129"/>
    </row>
    <row r="1130" spans="11:11" ht="19.899999999999999" customHeight="1" x14ac:dyDescent="0.3">
      <c r="K1130"/>
    </row>
    <row r="1131" spans="11:11" ht="19.899999999999999" customHeight="1" x14ac:dyDescent="0.3">
      <c r="K1131"/>
    </row>
    <row r="1132" spans="11:11" ht="19.899999999999999" customHeight="1" x14ac:dyDescent="0.3">
      <c r="K1132"/>
    </row>
    <row r="1133" spans="11:11" ht="19.899999999999999" customHeight="1" x14ac:dyDescent="0.3">
      <c r="K1133"/>
    </row>
    <row r="1134" spans="11:11" ht="19.899999999999999" customHeight="1" x14ac:dyDescent="0.3">
      <c r="K1134"/>
    </row>
    <row r="1135" spans="11:11" ht="19.899999999999999" customHeight="1" x14ac:dyDescent="0.3">
      <c r="K1135"/>
    </row>
    <row r="1136" spans="11:11" ht="19.899999999999999" customHeight="1" x14ac:dyDescent="0.3">
      <c r="K1136"/>
    </row>
    <row r="1137" spans="11:11" ht="19.899999999999999" customHeight="1" x14ac:dyDescent="0.3">
      <c r="K1137"/>
    </row>
    <row r="1138" spans="11:11" ht="19.899999999999999" customHeight="1" x14ac:dyDescent="0.3">
      <c r="K1138"/>
    </row>
    <row r="1139" spans="11:11" ht="19.899999999999999" customHeight="1" x14ac:dyDescent="0.3">
      <c r="K1139"/>
    </row>
    <row r="1140" spans="11:11" ht="19.899999999999999" customHeight="1" x14ac:dyDescent="0.3">
      <c r="K1140"/>
    </row>
    <row r="1141" spans="11:11" ht="19.899999999999999" customHeight="1" x14ac:dyDescent="0.3">
      <c r="K1141"/>
    </row>
    <row r="1142" spans="11:11" ht="19.899999999999999" customHeight="1" x14ac:dyDescent="0.3">
      <c r="K1142"/>
    </row>
    <row r="1143" spans="11:11" ht="19.899999999999999" customHeight="1" x14ac:dyDescent="0.3">
      <c r="K1143"/>
    </row>
    <row r="1144" spans="11:11" ht="19.899999999999999" customHeight="1" x14ac:dyDescent="0.3">
      <c r="K1144"/>
    </row>
    <row r="1145" spans="11:11" ht="19.899999999999999" customHeight="1" x14ac:dyDescent="0.3">
      <c r="K1145"/>
    </row>
    <row r="1146" spans="11:11" ht="19.899999999999999" customHeight="1" x14ac:dyDescent="0.3">
      <c r="K1146"/>
    </row>
    <row r="1147" spans="11:11" ht="19.899999999999999" customHeight="1" x14ac:dyDescent="0.3">
      <c r="K1147"/>
    </row>
    <row r="1148" spans="11:11" ht="19.899999999999999" customHeight="1" x14ac:dyDescent="0.3">
      <c r="K1148"/>
    </row>
    <row r="1149" spans="11:11" ht="19.899999999999999" customHeight="1" x14ac:dyDescent="0.3">
      <c r="K1149"/>
    </row>
    <row r="1150" spans="11:11" ht="19.899999999999999" customHeight="1" x14ac:dyDescent="0.3">
      <c r="K1150"/>
    </row>
    <row r="1151" spans="11:11" ht="19.899999999999999" customHeight="1" x14ac:dyDescent="0.3">
      <c r="K1151"/>
    </row>
    <row r="1152" spans="11:11" ht="19.899999999999999" customHeight="1" x14ac:dyDescent="0.3">
      <c r="K1152"/>
    </row>
    <row r="1153" spans="11:11" ht="19.899999999999999" customHeight="1" x14ac:dyDescent="0.3">
      <c r="K1153"/>
    </row>
    <row r="1154" spans="11:11" ht="19.899999999999999" customHeight="1" x14ac:dyDescent="0.3">
      <c r="K1154"/>
    </row>
    <row r="1155" spans="11:11" ht="19.899999999999999" customHeight="1" x14ac:dyDescent="0.3">
      <c r="K1155"/>
    </row>
    <row r="1156" spans="11:11" ht="19.899999999999999" customHeight="1" x14ac:dyDescent="0.3">
      <c r="K1156"/>
    </row>
    <row r="1157" spans="11:11" ht="19.899999999999999" customHeight="1" x14ac:dyDescent="0.3">
      <c r="K1157"/>
    </row>
    <row r="1158" spans="11:11" ht="19.899999999999999" customHeight="1" x14ac:dyDescent="0.3">
      <c r="K1158"/>
    </row>
    <row r="1159" spans="11:11" ht="19.899999999999999" customHeight="1" x14ac:dyDescent="0.3">
      <c r="K1159"/>
    </row>
    <row r="1160" spans="11:11" ht="19.899999999999999" customHeight="1" x14ac:dyDescent="0.3">
      <c r="K1160"/>
    </row>
    <row r="1161" spans="11:11" ht="19.899999999999999" customHeight="1" x14ac:dyDescent="0.3">
      <c r="K1161"/>
    </row>
    <row r="1162" spans="11:11" ht="19.899999999999999" customHeight="1" x14ac:dyDescent="0.3">
      <c r="K1162"/>
    </row>
    <row r="1163" spans="11:11" ht="19.899999999999999" customHeight="1" x14ac:dyDescent="0.3">
      <c r="K1163"/>
    </row>
    <row r="1164" spans="11:11" ht="19.899999999999999" customHeight="1" x14ac:dyDescent="0.3">
      <c r="K1164"/>
    </row>
    <row r="1165" spans="11:11" ht="19.899999999999999" customHeight="1" x14ac:dyDescent="0.3">
      <c r="K1165"/>
    </row>
    <row r="1166" spans="11:11" ht="19.899999999999999" customHeight="1" x14ac:dyDescent="0.3">
      <c r="K1166"/>
    </row>
    <row r="1167" spans="11:11" ht="19.899999999999999" customHeight="1" x14ac:dyDescent="0.3">
      <c r="K1167"/>
    </row>
    <row r="1168" spans="11:11" ht="19.899999999999999" customHeight="1" x14ac:dyDescent="0.3">
      <c r="K1168"/>
    </row>
    <row r="1169" spans="11:11" ht="19.899999999999999" customHeight="1" x14ac:dyDescent="0.3">
      <c r="K1169"/>
    </row>
    <row r="1170" spans="11:11" ht="19.899999999999999" customHeight="1" x14ac:dyDescent="0.3">
      <c r="K1170"/>
    </row>
    <row r="1171" spans="11:11" ht="19.899999999999999" customHeight="1" x14ac:dyDescent="0.3">
      <c r="K1171"/>
    </row>
    <row r="1172" spans="11:11" ht="19.899999999999999" customHeight="1" x14ac:dyDescent="0.3">
      <c r="K1172"/>
    </row>
    <row r="1173" spans="11:11" ht="19.899999999999999" customHeight="1" x14ac:dyDescent="0.3">
      <c r="K1173"/>
    </row>
    <row r="1174" spans="11:11" ht="19.899999999999999" customHeight="1" x14ac:dyDescent="0.3">
      <c r="K1174"/>
    </row>
    <row r="1175" spans="11:11" ht="19.899999999999999" customHeight="1" x14ac:dyDescent="0.3">
      <c r="K1175"/>
    </row>
    <row r="1176" spans="11:11" ht="19.899999999999999" customHeight="1" x14ac:dyDescent="0.3">
      <c r="K1176"/>
    </row>
    <row r="1177" spans="11:11" ht="19.899999999999999" customHeight="1" x14ac:dyDescent="0.3">
      <c r="K1177"/>
    </row>
    <row r="1178" spans="11:11" ht="19.899999999999999" customHeight="1" x14ac:dyDescent="0.3">
      <c r="K1178"/>
    </row>
    <row r="1179" spans="11:11" ht="19.899999999999999" customHeight="1" x14ac:dyDescent="0.3">
      <c r="K1179"/>
    </row>
    <row r="1180" spans="11:11" ht="19.899999999999999" customHeight="1" x14ac:dyDescent="0.3">
      <c r="K1180"/>
    </row>
    <row r="1181" spans="11:11" ht="19.899999999999999" customHeight="1" x14ac:dyDescent="0.3">
      <c r="K1181"/>
    </row>
    <row r="1182" spans="11:11" ht="19.899999999999999" customHeight="1" x14ac:dyDescent="0.3">
      <c r="K1182"/>
    </row>
    <row r="1183" spans="11:11" ht="19.899999999999999" customHeight="1" x14ac:dyDescent="0.3">
      <c r="K1183"/>
    </row>
    <row r="1184" spans="11:11" ht="19.899999999999999" customHeight="1" x14ac:dyDescent="0.3">
      <c r="K1184"/>
    </row>
    <row r="1185" spans="11:11" ht="19.899999999999999" customHeight="1" x14ac:dyDescent="0.3">
      <c r="K1185"/>
    </row>
    <row r="1186" spans="11:11" ht="19.899999999999999" customHeight="1" x14ac:dyDescent="0.3">
      <c r="K1186"/>
    </row>
    <row r="1187" spans="11:11" ht="19.899999999999999" customHeight="1" x14ac:dyDescent="0.3">
      <c r="K1187"/>
    </row>
    <row r="1188" spans="11:11" ht="19.899999999999999" customHeight="1" x14ac:dyDescent="0.3">
      <c r="K1188"/>
    </row>
    <row r="1189" spans="11:11" ht="19.899999999999999" customHeight="1" x14ac:dyDescent="0.3">
      <c r="K1189"/>
    </row>
    <row r="1190" spans="11:11" ht="19.899999999999999" customHeight="1" x14ac:dyDescent="0.3">
      <c r="K1190"/>
    </row>
    <row r="1191" spans="11:11" ht="19.899999999999999" customHeight="1" x14ac:dyDescent="0.3">
      <c r="K1191"/>
    </row>
    <row r="1192" spans="11:11" ht="19.899999999999999" customHeight="1" x14ac:dyDescent="0.3">
      <c r="K1192"/>
    </row>
    <row r="1193" spans="11:11" ht="19.899999999999999" customHeight="1" x14ac:dyDescent="0.3">
      <c r="K1193"/>
    </row>
    <row r="1194" spans="11:11" ht="19.899999999999999" customHeight="1" x14ac:dyDescent="0.3">
      <c r="K1194"/>
    </row>
    <row r="1195" spans="11:11" ht="19.899999999999999" customHeight="1" x14ac:dyDescent="0.3">
      <c r="K1195"/>
    </row>
    <row r="1196" spans="11:11" ht="19.899999999999999" customHeight="1" x14ac:dyDescent="0.3">
      <c r="K1196"/>
    </row>
    <row r="1197" spans="11:11" ht="19.899999999999999" customHeight="1" x14ac:dyDescent="0.3">
      <c r="K1197"/>
    </row>
    <row r="1198" spans="11:11" ht="19.899999999999999" customHeight="1" x14ac:dyDescent="0.3">
      <c r="K1198"/>
    </row>
    <row r="1199" spans="11:11" ht="19.899999999999999" customHeight="1" x14ac:dyDescent="0.3">
      <c r="K1199"/>
    </row>
    <row r="1200" spans="11:11" ht="19.899999999999999" customHeight="1" x14ac:dyDescent="0.3">
      <c r="K1200"/>
    </row>
    <row r="1201" spans="11:11" ht="19.899999999999999" customHeight="1" x14ac:dyDescent="0.3">
      <c r="K1201"/>
    </row>
    <row r="1202" spans="11:11" ht="19.899999999999999" customHeight="1" x14ac:dyDescent="0.3">
      <c r="K1202"/>
    </row>
    <row r="1203" spans="11:11" ht="19.899999999999999" customHeight="1" x14ac:dyDescent="0.3">
      <c r="K1203"/>
    </row>
    <row r="1204" spans="11:11" ht="19.899999999999999" customHeight="1" x14ac:dyDescent="0.3">
      <c r="K1204"/>
    </row>
    <row r="1205" spans="11:11" ht="19.899999999999999" customHeight="1" x14ac:dyDescent="0.3">
      <c r="K1205"/>
    </row>
    <row r="1206" spans="11:11" ht="19.899999999999999" customHeight="1" x14ac:dyDescent="0.3">
      <c r="K1206"/>
    </row>
    <row r="1207" spans="11:11" ht="19.899999999999999" customHeight="1" x14ac:dyDescent="0.3">
      <c r="K1207"/>
    </row>
    <row r="1208" spans="11:11" ht="19.899999999999999" customHeight="1" x14ac:dyDescent="0.3">
      <c r="K1208"/>
    </row>
    <row r="1209" spans="11:11" ht="19.899999999999999" customHeight="1" x14ac:dyDescent="0.3">
      <c r="K1209"/>
    </row>
    <row r="1210" spans="11:11" ht="19.899999999999999" customHeight="1" x14ac:dyDescent="0.3">
      <c r="K1210"/>
    </row>
    <row r="1211" spans="11:11" ht="19.899999999999999" customHeight="1" x14ac:dyDescent="0.3">
      <c r="K1211"/>
    </row>
    <row r="1212" spans="11:11" ht="19.899999999999999" customHeight="1" x14ac:dyDescent="0.3">
      <c r="K1212"/>
    </row>
    <row r="1213" spans="11:11" ht="19.899999999999999" customHeight="1" x14ac:dyDescent="0.3">
      <c r="K1213"/>
    </row>
    <row r="1214" spans="11:11" ht="19.899999999999999" customHeight="1" x14ac:dyDescent="0.3">
      <c r="K1214"/>
    </row>
    <row r="1215" spans="11:11" ht="19.899999999999999" customHeight="1" x14ac:dyDescent="0.3">
      <c r="K1215"/>
    </row>
    <row r="1216" spans="11:11" ht="19.899999999999999" customHeight="1" x14ac:dyDescent="0.3">
      <c r="K1216"/>
    </row>
    <row r="1217" spans="11:11" ht="19.899999999999999" customHeight="1" x14ac:dyDescent="0.3">
      <c r="K1217"/>
    </row>
    <row r="1218" spans="11:11" ht="19.899999999999999" customHeight="1" x14ac:dyDescent="0.3">
      <c r="K1218"/>
    </row>
    <row r="1219" spans="11:11" ht="19.899999999999999" customHeight="1" x14ac:dyDescent="0.3">
      <c r="K1219"/>
    </row>
    <row r="1220" spans="11:11" ht="19.899999999999999" customHeight="1" x14ac:dyDescent="0.3">
      <c r="K1220"/>
    </row>
    <row r="1221" spans="11:11" ht="19.899999999999999" customHeight="1" x14ac:dyDescent="0.3">
      <c r="K1221"/>
    </row>
    <row r="1222" spans="11:11" ht="19.899999999999999" customHeight="1" x14ac:dyDescent="0.3">
      <c r="K1222"/>
    </row>
    <row r="1223" spans="11:11" ht="19.899999999999999" customHeight="1" x14ac:dyDescent="0.3">
      <c r="K1223"/>
    </row>
    <row r="1224" spans="11:11" ht="19.899999999999999" customHeight="1" x14ac:dyDescent="0.3">
      <c r="K1224"/>
    </row>
    <row r="1225" spans="11:11" ht="19.899999999999999" customHeight="1" x14ac:dyDescent="0.3">
      <c r="K1225"/>
    </row>
    <row r="1226" spans="11:11" ht="19.899999999999999" customHeight="1" x14ac:dyDescent="0.3">
      <c r="K1226"/>
    </row>
    <row r="1227" spans="11:11" ht="19.899999999999999" customHeight="1" x14ac:dyDescent="0.3">
      <c r="K1227"/>
    </row>
    <row r="1228" spans="11:11" ht="19.899999999999999" customHeight="1" x14ac:dyDescent="0.3">
      <c r="K1228"/>
    </row>
    <row r="1229" spans="11:11" ht="19.899999999999999" customHeight="1" x14ac:dyDescent="0.3">
      <c r="K1229"/>
    </row>
    <row r="1230" spans="11:11" ht="19.899999999999999" customHeight="1" x14ac:dyDescent="0.3">
      <c r="K1230"/>
    </row>
    <row r="1231" spans="11:11" ht="19.899999999999999" customHeight="1" x14ac:dyDescent="0.3">
      <c r="K1231"/>
    </row>
    <row r="1232" spans="11:11" ht="19.899999999999999" customHeight="1" x14ac:dyDescent="0.3">
      <c r="K1232"/>
    </row>
    <row r="1233" spans="11:11" ht="19.899999999999999" customHeight="1" x14ac:dyDescent="0.3">
      <c r="K1233"/>
    </row>
    <row r="1234" spans="11:11" ht="19.899999999999999" customHeight="1" x14ac:dyDescent="0.3">
      <c r="K1234"/>
    </row>
    <row r="1235" spans="11:11" ht="19.899999999999999" customHeight="1" x14ac:dyDescent="0.3">
      <c r="K1235"/>
    </row>
    <row r="1236" spans="11:11" ht="19.899999999999999" customHeight="1" x14ac:dyDescent="0.3">
      <c r="K1236"/>
    </row>
    <row r="1237" spans="11:11" ht="19.899999999999999" customHeight="1" x14ac:dyDescent="0.3">
      <c r="K1237"/>
    </row>
    <row r="1238" spans="11:11" ht="19.899999999999999" customHeight="1" x14ac:dyDescent="0.3">
      <c r="K1238"/>
    </row>
    <row r="1239" spans="11:11" ht="19.899999999999999" customHeight="1" x14ac:dyDescent="0.3">
      <c r="K1239"/>
    </row>
    <row r="1240" spans="11:11" ht="19.899999999999999" customHeight="1" x14ac:dyDescent="0.3">
      <c r="K1240"/>
    </row>
    <row r="1241" spans="11:11" ht="19.899999999999999" customHeight="1" x14ac:dyDescent="0.3">
      <c r="K1241"/>
    </row>
    <row r="1242" spans="11:11" ht="19.899999999999999" customHeight="1" x14ac:dyDescent="0.3">
      <c r="K1242"/>
    </row>
    <row r="1243" spans="11:11" ht="19.899999999999999" customHeight="1" x14ac:dyDescent="0.3">
      <c r="K1243"/>
    </row>
    <row r="1244" spans="11:11" ht="19.899999999999999" customHeight="1" x14ac:dyDescent="0.3">
      <c r="K1244"/>
    </row>
    <row r="1245" spans="11:11" ht="19.899999999999999" customHeight="1" x14ac:dyDescent="0.3">
      <c r="K1245"/>
    </row>
    <row r="1246" spans="11:11" ht="19.899999999999999" customHeight="1" x14ac:dyDescent="0.3">
      <c r="K1246"/>
    </row>
    <row r="1247" spans="11:11" ht="19.899999999999999" customHeight="1" x14ac:dyDescent="0.3">
      <c r="K1247"/>
    </row>
    <row r="1248" spans="11:11" ht="19.899999999999999" customHeight="1" x14ac:dyDescent="0.3">
      <c r="K1248"/>
    </row>
    <row r="1249" spans="11:11" ht="19.899999999999999" customHeight="1" x14ac:dyDescent="0.3">
      <c r="K1249"/>
    </row>
    <row r="1250" spans="11:11" ht="19.899999999999999" customHeight="1" x14ac:dyDescent="0.3">
      <c r="K1250"/>
    </row>
    <row r="1251" spans="11:11" ht="19.899999999999999" customHeight="1" x14ac:dyDescent="0.3">
      <c r="K1251"/>
    </row>
    <row r="1252" spans="11:11" ht="19.899999999999999" customHeight="1" x14ac:dyDescent="0.3">
      <c r="K1252"/>
    </row>
    <row r="1253" spans="11:11" ht="19.899999999999999" customHeight="1" x14ac:dyDescent="0.3">
      <c r="K1253"/>
    </row>
    <row r="1254" spans="11:11" ht="19.899999999999999" customHeight="1" x14ac:dyDescent="0.3">
      <c r="K1254"/>
    </row>
    <row r="1255" spans="11:11" ht="19.899999999999999" customHeight="1" x14ac:dyDescent="0.3">
      <c r="K1255"/>
    </row>
    <row r="1256" spans="11:11" ht="19.899999999999999" customHeight="1" x14ac:dyDescent="0.3">
      <c r="K1256"/>
    </row>
    <row r="1257" spans="11:11" ht="19.899999999999999" customHeight="1" x14ac:dyDescent="0.3">
      <c r="K1257"/>
    </row>
    <row r="1258" spans="11:11" ht="19.899999999999999" customHeight="1" x14ac:dyDescent="0.3">
      <c r="K1258"/>
    </row>
    <row r="1259" spans="11:11" ht="19.899999999999999" customHeight="1" x14ac:dyDescent="0.3">
      <c r="K1259"/>
    </row>
    <row r="1260" spans="11:11" ht="19.899999999999999" customHeight="1" x14ac:dyDescent="0.3">
      <c r="K1260"/>
    </row>
    <row r="1261" spans="11:11" ht="19.899999999999999" customHeight="1" x14ac:dyDescent="0.3">
      <c r="K1261"/>
    </row>
    <row r="1262" spans="11:11" ht="19.899999999999999" customHeight="1" x14ac:dyDescent="0.3">
      <c r="K1262"/>
    </row>
    <row r="1263" spans="11:11" ht="19.899999999999999" customHeight="1" x14ac:dyDescent="0.3">
      <c r="K1263"/>
    </row>
    <row r="1264" spans="11:11" ht="19.899999999999999" customHeight="1" x14ac:dyDescent="0.3">
      <c r="K1264"/>
    </row>
    <row r="1265" spans="11:11" ht="19.899999999999999" customHeight="1" x14ac:dyDescent="0.3">
      <c r="K1265"/>
    </row>
    <row r="1266" spans="11:11" ht="19.899999999999999" customHeight="1" x14ac:dyDescent="0.3">
      <c r="K1266"/>
    </row>
    <row r="1267" spans="11:11" ht="19.899999999999999" customHeight="1" x14ac:dyDescent="0.3">
      <c r="K1267"/>
    </row>
    <row r="1268" spans="11:11" ht="19.899999999999999" customHeight="1" x14ac:dyDescent="0.3">
      <c r="K1268"/>
    </row>
    <row r="1269" spans="11:11" ht="19.899999999999999" customHeight="1" x14ac:dyDescent="0.3">
      <c r="K1269"/>
    </row>
    <row r="1270" spans="11:11" ht="19.899999999999999" customHeight="1" x14ac:dyDescent="0.3">
      <c r="K1270"/>
    </row>
    <row r="1271" spans="11:11" ht="19.899999999999999" customHeight="1" x14ac:dyDescent="0.3">
      <c r="K1271"/>
    </row>
    <row r="1272" spans="11:11" ht="19.899999999999999" customHeight="1" x14ac:dyDescent="0.3">
      <c r="K1272"/>
    </row>
    <row r="1273" spans="11:11" ht="19.899999999999999" customHeight="1" x14ac:dyDescent="0.3">
      <c r="K1273"/>
    </row>
    <row r="1274" spans="11:11" ht="19.899999999999999" customHeight="1" x14ac:dyDescent="0.3">
      <c r="K1274"/>
    </row>
    <row r="1275" spans="11:11" ht="19.899999999999999" customHeight="1" x14ac:dyDescent="0.3">
      <c r="K1275"/>
    </row>
    <row r="1276" spans="11:11" ht="19.899999999999999" customHeight="1" x14ac:dyDescent="0.3">
      <c r="K1276"/>
    </row>
    <row r="1277" spans="11:11" ht="19.899999999999999" customHeight="1" x14ac:dyDescent="0.3">
      <c r="K1277"/>
    </row>
    <row r="1278" spans="11:11" ht="19.899999999999999" customHeight="1" x14ac:dyDescent="0.3">
      <c r="K1278"/>
    </row>
    <row r="1279" spans="11:11" ht="19.899999999999999" customHeight="1" x14ac:dyDescent="0.3">
      <c r="K1279"/>
    </row>
    <row r="1280" spans="11:11" ht="19.899999999999999" customHeight="1" x14ac:dyDescent="0.3">
      <c r="K1280"/>
    </row>
    <row r="1281" spans="11:11" ht="19.899999999999999" customHeight="1" x14ac:dyDescent="0.3">
      <c r="K1281"/>
    </row>
    <row r="1282" spans="11:11" ht="19.899999999999999" customHeight="1" x14ac:dyDescent="0.3">
      <c r="K1282"/>
    </row>
    <row r="1283" spans="11:11" ht="19.899999999999999" customHeight="1" x14ac:dyDescent="0.3">
      <c r="K1283"/>
    </row>
    <row r="1284" spans="11:11" ht="19.899999999999999" customHeight="1" x14ac:dyDescent="0.3">
      <c r="K1284"/>
    </row>
    <row r="1285" spans="11:11" ht="19.899999999999999" customHeight="1" x14ac:dyDescent="0.3">
      <c r="K1285"/>
    </row>
    <row r="1286" spans="11:11" ht="19.899999999999999" customHeight="1" x14ac:dyDescent="0.3">
      <c r="K1286"/>
    </row>
    <row r="1287" spans="11:11" ht="19.899999999999999" customHeight="1" x14ac:dyDescent="0.3">
      <c r="K1287"/>
    </row>
    <row r="1288" spans="11:11" ht="19.899999999999999" customHeight="1" x14ac:dyDescent="0.3">
      <c r="K1288"/>
    </row>
    <row r="1289" spans="11:11" ht="19.899999999999999" customHeight="1" x14ac:dyDescent="0.3">
      <c r="K1289"/>
    </row>
    <row r="1290" spans="11:11" ht="19.899999999999999" customHeight="1" x14ac:dyDescent="0.3">
      <c r="K1290"/>
    </row>
    <row r="1291" spans="11:11" ht="19.899999999999999" customHeight="1" x14ac:dyDescent="0.3">
      <c r="K1291"/>
    </row>
    <row r="1292" spans="11:11" ht="19.899999999999999" customHeight="1" x14ac:dyDescent="0.3">
      <c r="K1292"/>
    </row>
    <row r="1293" spans="11:11" ht="19.899999999999999" customHeight="1" x14ac:dyDescent="0.3">
      <c r="K1293"/>
    </row>
    <row r="1294" spans="11:11" ht="19.899999999999999" customHeight="1" x14ac:dyDescent="0.3">
      <c r="K1294"/>
    </row>
    <row r="1295" spans="11:11" ht="19.899999999999999" customHeight="1" x14ac:dyDescent="0.3">
      <c r="K1295"/>
    </row>
    <row r="1296" spans="11:11" ht="19.899999999999999" customHeight="1" x14ac:dyDescent="0.3">
      <c r="K1296"/>
    </row>
    <row r="1297" spans="11:11" ht="19.899999999999999" customHeight="1" x14ac:dyDescent="0.3">
      <c r="K1297"/>
    </row>
    <row r="1298" spans="11:11" ht="19.899999999999999" customHeight="1" x14ac:dyDescent="0.3">
      <c r="K1298"/>
    </row>
    <row r="1299" spans="11:11" ht="19.899999999999999" customHeight="1" x14ac:dyDescent="0.3">
      <c r="K1299"/>
    </row>
    <row r="1300" spans="11:11" ht="19.899999999999999" customHeight="1" x14ac:dyDescent="0.3">
      <c r="K1300"/>
    </row>
    <row r="1301" spans="11:11" ht="19.899999999999999" customHeight="1" x14ac:dyDescent="0.3">
      <c r="K1301"/>
    </row>
    <row r="1302" spans="11:11" ht="19.899999999999999" customHeight="1" x14ac:dyDescent="0.3">
      <c r="K1302"/>
    </row>
    <row r="1303" spans="11:11" ht="19.899999999999999" customHeight="1" x14ac:dyDescent="0.3">
      <c r="K1303"/>
    </row>
    <row r="1304" spans="11:11" ht="19.899999999999999" customHeight="1" x14ac:dyDescent="0.3">
      <c r="K1304"/>
    </row>
    <row r="1305" spans="11:11" ht="19.899999999999999" customHeight="1" x14ac:dyDescent="0.3">
      <c r="K1305"/>
    </row>
    <row r="1306" spans="11:11" ht="19.899999999999999" customHeight="1" x14ac:dyDescent="0.3">
      <c r="K1306"/>
    </row>
    <row r="1307" spans="11:11" ht="19.899999999999999" customHeight="1" x14ac:dyDescent="0.3">
      <c r="K1307"/>
    </row>
    <row r="1308" spans="11:11" ht="19.899999999999999" customHeight="1" x14ac:dyDescent="0.3">
      <c r="K1308"/>
    </row>
    <row r="1309" spans="11:11" ht="19.899999999999999" customHeight="1" x14ac:dyDescent="0.3">
      <c r="K1309"/>
    </row>
    <row r="1310" spans="11:11" ht="19.899999999999999" customHeight="1" x14ac:dyDescent="0.3">
      <c r="K1310"/>
    </row>
    <row r="1311" spans="11:11" ht="19.899999999999999" customHeight="1" x14ac:dyDescent="0.3">
      <c r="K1311"/>
    </row>
    <row r="1312" spans="11:11" ht="19.899999999999999" customHeight="1" x14ac:dyDescent="0.3">
      <c r="K1312"/>
    </row>
    <row r="1313" spans="11:11" ht="19.899999999999999" customHeight="1" x14ac:dyDescent="0.3">
      <c r="K1313"/>
    </row>
    <row r="1314" spans="11:11" ht="19.899999999999999" customHeight="1" x14ac:dyDescent="0.3">
      <c r="K1314"/>
    </row>
    <row r="1315" spans="11:11" ht="19.899999999999999" customHeight="1" x14ac:dyDescent="0.3">
      <c r="K1315"/>
    </row>
    <row r="1316" spans="11:11" ht="19.899999999999999" customHeight="1" x14ac:dyDescent="0.3">
      <c r="K1316"/>
    </row>
    <row r="1317" spans="11:11" ht="19.899999999999999" customHeight="1" x14ac:dyDescent="0.3">
      <c r="K1317"/>
    </row>
    <row r="1318" spans="11:11" ht="19.899999999999999" customHeight="1" x14ac:dyDescent="0.3">
      <c r="K1318"/>
    </row>
    <row r="1319" spans="11:11" ht="19.899999999999999" customHeight="1" x14ac:dyDescent="0.3">
      <c r="K1319"/>
    </row>
    <row r="1320" spans="11:11" ht="19.899999999999999" customHeight="1" x14ac:dyDescent="0.3">
      <c r="K1320"/>
    </row>
    <row r="1321" spans="11:11" ht="19.899999999999999" customHeight="1" x14ac:dyDescent="0.3">
      <c r="K1321"/>
    </row>
    <row r="1322" spans="11:11" ht="19.899999999999999" customHeight="1" x14ac:dyDescent="0.3">
      <c r="K1322"/>
    </row>
    <row r="1323" spans="11:11" ht="19.899999999999999" customHeight="1" x14ac:dyDescent="0.3">
      <c r="K1323"/>
    </row>
    <row r="1324" spans="11:11" ht="19.899999999999999" customHeight="1" x14ac:dyDescent="0.3">
      <c r="K1324"/>
    </row>
    <row r="1325" spans="11:11" ht="19.899999999999999" customHeight="1" x14ac:dyDescent="0.3">
      <c r="K1325"/>
    </row>
    <row r="1326" spans="11:11" ht="19.899999999999999" customHeight="1" x14ac:dyDescent="0.3">
      <c r="K1326"/>
    </row>
    <row r="1327" spans="11:11" ht="19.899999999999999" customHeight="1" x14ac:dyDescent="0.3">
      <c r="K1327"/>
    </row>
    <row r="1328" spans="11:11" ht="19.899999999999999" customHeight="1" x14ac:dyDescent="0.3">
      <c r="K1328"/>
    </row>
    <row r="1329" spans="11:11" ht="19.899999999999999" customHeight="1" x14ac:dyDescent="0.3">
      <c r="K1329"/>
    </row>
    <row r="1330" spans="11:11" ht="19.899999999999999" customHeight="1" x14ac:dyDescent="0.3">
      <c r="K1330"/>
    </row>
    <row r="1331" spans="11:11" ht="19.899999999999999" customHeight="1" x14ac:dyDescent="0.3">
      <c r="K1331"/>
    </row>
    <row r="1332" spans="11:11" ht="19.899999999999999" customHeight="1" x14ac:dyDescent="0.3">
      <c r="K1332"/>
    </row>
    <row r="1333" spans="11:11" ht="19.899999999999999" customHeight="1" x14ac:dyDescent="0.3">
      <c r="K1333"/>
    </row>
    <row r="1334" spans="11:11" ht="19.899999999999999" customHeight="1" x14ac:dyDescent="0.3">
      <c r="K1334"/>
    </row>
    <row r="1335" spans="11:11" ht="19.899999999999999" customHeight="1" x14ac:dyDescent="0.3">
      <c r="K1335"/>
    </row>
    <row r="1336" spans="11:11" ht="19.899999999999999" customHeight="1" x14ac:dyDescent="0.3">
      <c r="K1336"/>
    </row>
    <row r="1337" spans="11:11" ht="19.899999999999999" customHeight="1" x14ac:dyDescent="0.3">
      <c r="K1337"/>
    </row>
    <row r="1338" spans="11:11" ht="19.899999999999999" customHeight="1" x14ac:dyDescent="0.3">
      <c r="K1338"/>
    </row>
    <row r="1339" spans="11:11" ht="19.899999999999999" customHeight="1" x14ac:dyDescent="0.3">
      <c r="K1339"/>
    </row>
    <row r="1340" spans="11:11" ht="19.899999999999999" customHeight="1" x14ac:dyDescent="0.3">
      <c r="K1340"/>
    </row>
    <row r="1341" spans="11:11" ht="19.899999999999999" customHeight="1" x14ac:dyDescent="0.3">
      <c r="K1341"/>
    </row>
    <row r="1342" spans="11:11" ht="19.899999999999999" customHeight="1" x14ac:dyDescent="0.3">
      <c r="K1342"/>
    </row>
    <row r="1343" spans="11:11" ht="19.899999999999999" customHeight="1" x14ac:dyDescent="0.3">
      <c r="K1343"/>
    </row>
    <row r="1344" spans="11:11" ht="19.899999999999999" customHeight="1" x14ac:dyDescent="0.3">
      <c r="K1344"/>
    </row>
    <row r="1345" spans="11:11" ht="19.899999999999999" customHeight="1" x14ac:dyDescent="0.3">
      <c r="K1345"/>
    </row>
    <row r="1346" spans="11:11" ht="19.899999999999999" customHeight="1" x14ac:dyDescent="0.3">
      <c r="K1346"/>
    </row>
    <row r="1347" spans="11:11" ht="19.899999999999999" customHeight="1" x14ac:dyDescent="0.3">
      <c r="K1347"/>
    </row>
    <row r="1348" spans="11:11" ht="19.899999999999999" customHeight="1" x14ac:dyDescent="0.3">
      <c r="K1348"/>
    </row>
    <row r="1349" spans="11:11" ht="19.899999999999999" customHeight="1" x14ac:dyDescent="0.3">
      <c r="K1349"/>
    </row>
    <row r="1350" spans="11:11" ht="19.899999999999999" customHeight="1" x14ac:dyDescent="0.3">
      <c r="K1350"/>
    </row>
    <row r="1351" spans="11:11" ht="19.899999999999999" customHeight="1" x14ac:dyDescent="0.3">
      <c r="K1351"/>
    </row>
    <row r="1352" spans="11:11" ht="19.899999999999999" customHeight="1" x14ac:dyDescent="0.3">
      <c r="K1352"/>
    </row>
    <row r="1353" spans="11:11" ht="19.899999999999999" customHeight="1" x14ac:dyDescent="0.3">
      <c r="K1353"/>
    </row>
    <row r="1354" spans="11:11" ht="19.899999999999999" customHeight="1" x14ac:dyDescent="0.3">
      <c r="K1354"/>
    </row>
    <row r="1355" spans="11:11" ht="19.899999999999999" customHeight="1" x14ac:dyDescent="0.3">
      <c r="K1355"/>
    </row>
    <row r="1356" spans="11:11" ht="19.899999999999999" customHeight="1" x14ac:dyDescent="0.3">
      <c r="K1356"/>
    </row>
    <row r="1357" spans="11:11" ht="19.899999999999999" customHeight="1" x14ac:dyDescent="0.3">
      <c r="K1357"/>
    </row>
    <row r="1358" spans="11:11" ht="19.899999999999999" customHeight="1" x14ac:dyDescent="0.3">
      <c r="K1358"/>
    </row>
    <row r="1359" spans="11:11" ht="19.899999999999999" customHeight="1" x14ac:dyDescent="0.3">
      <c r="K1359"/>
    </row>
    <row r="1360" spans="11:11" ht="19.899999999999999" customHeight="1" x14ac:dyDescent="0.3">
      <c r="K1360"/>
    </row>
    <row r="1361" spans="11:11" ht="19.899999999999999" customHeight="1" x14ac:dyDescent="0.3">
      <c r="K1361"/>
    </row>
    <row r="1362" spans="11:11" ht="19.899999999999999" customHeight="1" x14ac:dyDescent="0.3">
      <c r="K1362"/>
    </row>
    <row r="1363" spans="11:11" ht="19.899999999999999" customHeight="1" x14ac:dyDescent="0.3">
      <c r="K1363"/>
    </row>
    <row r="1364" spans="11:11" ht="19.899999999999999" customHeight="1" x14ac:dyDescent="0.3">
      <c r="K1364"/>
    </row>
    <row r="1365" spans="11:11" ht="19.899999999999999" customHeight="1" x14ac:dyDescent="0.3">
      <c r="K1365"/>
    </row>
    <row r="1366" spans="11:11" ht="19.899999999999999" customHeight="1" x14ac:dyDescent="0.3">
      <c r="K1366"/>
    </row>
    <row r="1367" spans="11:11" ht="19.899999999999999" customHeight="1" x14ac:dyDescent="0.3">
      <c r="K1367"/>
    </row>
    <row r="1368" spans="11:11" ht="19.899999999999999" customHeight="1" x14ac:dyDescent="0.3">
      <c r="K1368"/>
    </row>
    <row r="1369" spans="11:11" ht="19.899999999999999" customHeight="1" x14ac:dyDescent="0.3">
      <c r="K1369"/>
    </row>
    <row r="1370" spans="11:11" ht="19.899999999999999" customHeight="1" x14ac:dyDescent="0.3">
      <c r="K1370"/>
    </row>
    <row r="1371" spans="11:11" ht="19.899999999999999" customHeight="1" x14ac:dyDescent="0.3">
      <c r="K1371"/>
    </row>
    <row r="1372" spans="11:11" ht="19.899999999999999" customHeight="1" x14ac:dyDescent="0.3">
      <c r="K1372"/>
    </row>
    <row r="1373" spans="11:11" ht="19.899999999999999" customHeight="1" x14ac:dyDescent="0.3">
      <c r="K1373"/>
    </row>
    <row r="1374" spans="11:11" ht="19.899999999999999" customHeight="1" x14ac:dyDescent="0.3">
      <c r="K1374"/>
    </row>
    <row r="1375" spans="11:11" ht="19.899999999999999" customHeight="1" x14ac:dyDescent="0.3">
      <c r="K1375"/>
    </row>
    <row r="1376" spans="11:11" ht="19.899999999999999" customHeight="1" x14ac:dyDescent="0.3">
      <c r="K1376"/>
    </row>
    <row r="1377" spans="11:11" ht="19.899999999999999" customHeight="1" x14ac:dyDescent="0.3">
      <c r="K1377"/>
    </row>
    <row r="1378" spans="11:11" ht="19.899999999999999" customHeight="1" x14ac:dyDescent="0.3">
      <c r="K1378"/>
    </row>
    <row r="1379" spans="11:11" ht="19.899999999999999" customHeight="1" x14ac:dyDescent="0.3">
      <c r="K1379"/>
    </row>
    <row r="1380" spans="11:11" ht="19.899999999999999" customHeight="1" x14ac:dyDescent="0.3">
      <c r="K1380"/>
    </row>
    <row r="1381" spans="11:11" ht="19.899999999999999" customHeight="1" x14ac:dyDescent="0.3">
      <c r="K1381"/>
    </row>
    <row r="1382" spans="11:11" ht="19.899999999999999" customHeight="1" x14ac:dyDescent="0.3">
      <c r="K1382"/>
    </row>
    <row r="1383" spans="11:11" ht="19.899999999999999" customHeight="1" x14ac:dyDescent="0.3">
      <c r="K1383"/>
    </row>
    <row r="1384" spans="11:11" ht="19.899999999999999" customHeight="1" x14ac:dyDescent="0.3">
      <c r="K1384"/>
    </row>
    <row r="1385" spans="11:11" ht="19.899999999999999" customHeight="1" x14ac:dyDescent="0.3">
      <c r="K1385"/>
    </row>
    <row r="1386" spans="11:11" ht="19.899999999999999" customHeight="1" x14ac:dyDescent="0.3">
      <c r="K1386"/>
    </row>
    <row r="1387" spans="11:11" ht="19.899999999999999" customHeight="1" x14ac:dyDescent="0.3">
      <c r="K1387"/>
    </row>
    <row r="1388" spans="11:11" ht="19.899999999999999" customHeight="1" x14ac:dyDescent="0.3">
      <c r="K1388"/>
    </row>
    <row r="1389" spans="11:11" ht="19.899999999999999" customHeight="1" x14ac:dyDescent="0.3">
      <c r="K1389"/>
    </row>
    <row r="1390" spans="11:11" ht="19.899999999999999" customHeight="1" x14ac:dyDescent="0.3">
      <c r="K1390"/>
    </row>
    <row r="1391" spans="11:11" ht="19.899999999999999" customHeight="1" x14ac:dyDescent="0.3">
      <c r="K1391"/>
    </row>
    <row r="1392" spans="11:11" ht="19.899999999999999" customHeight="1" x14ac:dyDescent="0.3">
      <c r="K1392"/>
    </row>
    <row r="1393" spans="11:11" ht="19.899999999999999" customHeight="1" x14ac:dyDescent="0.3">
      <c r="K1393"/>
    </row>
    <row r="1394" spans="11:11" ht="19.899999999999999" customHeight="1" x14ac:dyDescent="0.3">
      <c r="K1394"/>
    </row>
    <row r="1395" spans="11:11" ht="19.899999999999999" customHeight="1" x14ac:dyDescent="0.3">
      <c r="K1395"/>
    </row>
    <row r="1396" spans="11:11" ht="19.899999999999999" customHeight="1" x14ac:dyDescent="0.3">
      <c r="K1396"/>
    </row>
    <row r="1397" spans="11:11" ht="19.899999999999999" customHeight="1" x14ac:dyDescent="0.3">
      <c r="K1397"/>
    </row>
    <row r="1398" spans="11:11" ht="19.899999999999999" customHeight="1" x14ac:dyDescent="0.3">
      <c r="K1398"/>
    </row>
    <row r="1399" spans="11:11" ht="19.899999999999999" customHeight="1" x14ac:dyDescent="0.3">
      <c r="K1399"/>
    </row>
    <row r="1400" spans="11:11" ht="19.899999999999999" customHeight="1" x14ac:dyDescent="0.3">
      <c r="K1400"/>
    </row>
    <row r="1401" spans="11:11" ht="19.899999999999999" customHeight="1" x14ac:dyDescent="0.3">
      <c r="K1401"/>
    </row>
    <row r="1402" spans="11:11" ht="19.899999999999999" customHeight="1" x14ac:dyDescent="0.3">
      <c r="K1402"/>
    </row>
    <row r="1403" spans="11:11" ht="19.899999999999999" customHeight="1" x14ac:dyDescent="0.3">
      <c r="K1403"/>
    </row>
    <row r="1404" spans="11:11" ht="19.899999999999999" customHeight="1" x14ac:dyDescent="0.3">
      <c r="K1404"/>
    </row>
    <row r="1405" spans="11:11" ht="19.899999999999999" customHeight="1" x14ac:dyDescent="0.3">
      <c r="K1405"/>
    </row>
    <row r="1406" spans="11:11" ht="19.899999999999999" customHeight="1" x14ac:dyDescent="0.3">
      <c r="K1406"/>
    </row>
    <row r="1407" spans="11:11" ht="19.899999999999999" customHeight="1" x14ac:dyDescent="0.3">
      <c r="K1407"/>
    </row>
    <row r="1408" spans="11:11" ht="19.899999999999999" customHeight="1" x14ac:dyDescent="0.3">
      <c r="K1408"/>
    </row>
    <row r="1409" spans="11:11" ht="19.899999999999999" customHeight="1" x14ac:dyDescent="0.3">
      <c r="K1409"/>
    </row>
    <row r="1410" spans="11:11" ht="19.899999999999999" customHeight="1" x14ac:dyDescent="0.3">
      <c r="K1410"/>
    </row>
    <row r="1411" spans="11:11" ht="19.899999999999999" customHeight="1" x14ac:dyDescent="0.3">
      <c r="K1411"/>
    </row>
    <row r="1412" spans="11:11" ht="19.899999999999999" customHeight="1" x14ac:dyDescent="0.3">
      <c r="K1412"/>
    </row>
    <row r="1413" spans="11:11" ht="19.899999999999999" customHeight="1" x14ac:dyDescent="0.3">
      <c r="K1413"/>
    </row>
    <row r="1414" spans="11:11" ht="19.899999999999999" customHeight="1" x14ac:dyDescent="0.3">
      <c r="K1414"/>
    </row>
    <row r="1415" spans="11:11" ht="19.899999999999999" customHeight="1" x14ac:dyDescent="0.3">
      <c r="K1415"/>
    </row>
    <row r="1416" spans="11:11" ht="19.899999999999999" customHeight="1" x14ac:dyDescent="0.3">
      <c r="K1416"/>
    </row>
    <row r="1417" spans="11:11" ht="19.899999999999999" customHeight="1" x14ac:dyDescent="0.3">
      <c r="K1417"/>
    </row>
    <row r="1418" spans="11:11" ht="19.899999999999999" customHeight="1" x14ac:dyDescent="0.3">
      <c r="K1418"/>
    </row>
    <row r="1419" spans="11:11" ht="19.899999999999999" customHeight="1" x14ac:dyDescent="0.3">
      <c r="K1419"/>
    </row>
    <row r="1420" spans="11:11" ht="19.899999999999999" customHeight="1" x14ac:dyDescent="0.3">
      <c r="K1420"/>
    </row>
    <row r="1421" spans="11:11" ht="19.899999999999999" customHeight="1" x14ac:dyDescent="0.3">
      <c r="K1421"/>
    </row>
    <row r="1422" spans="11:11" ht="19.899999999999999" customHeight="1" x14ac:dyDescent="0.3">
      <c r="K1422"/>
    </row>
    <row r="1423" spans="11:11" ht="19.899999999999999" customHeight="1" x14ac:dyDescent="0.3">
      <c r="K1423"/>
    </row>
    <row r="1424" spans="11:11" ht="19.899999999999999" customHeight="1" x14ac:dyDescent="0.3">
      <c r="K1424"/>
    </row>
    <row r="1425" spans="11:11" ht="19.899999999999999" customHeight="1" x14ac:dyDescent="0.3">
      <c r="K1425"/>
    </row>
    <row r="1426" spans="11:11" ht="19.899999999999999" customHeight="1" x14ac:dyDescent="0.3">
      <c r="K1426"/>
    </row>
    <row r="1427" spans="11:11" ht="19.899999999999999" customHeight="1" x14ac:dyDescent="0.3">
      <c r="K1427"/>
    </row>
    <row r="1428" spans="11:11" ht="19.899999999999999" customHeight="1" x14ac:dyDescent="0.3">
      <c r="K1428"/>
    </row>
    <row r="1429" spans="11:11" ht="19.899999999999999" customHeight="1" x14ac:dyDescent="0.3">
      <c r="K1429"/>
    </row>
    <row r="1430" spans="11:11" ht="19.899999999999999" customHeight="1" x14ac:dyDescent="0.3">
      <c r="K1430"/>
    </row>
    <row r="1431" spans="11:11" ht="19.899999999999999" customHeight="1" x14ac:dyDescent="0.3">
      <c r="K1431"/>
    </row>
    <row r="1432" spans="11:11" ht="19.899999999999999" customHeight="1" x14ac:dyDescent="0.3">
      <c r="K1432"/>
    </row>
    <row r="1433" spans="11:11" ht="19.899999999999999" customHeight="1" x14ac:dyDescent="0.3">
      <c r="K1433"/>
    </row>
    <row r="1434" spans="11:11" ht="19.899999999999999" customHeight="1" x14ac:dyDescent="0.3">
      <c r="K1434"/>
    </row>
    <row r="1435" spans="11:11" ht="19.899999999999999" customHeight="1" x14ac:dyDescent="0.3">
      <c r="K1435"/>
    </row>
    <row r="1436" spans="11:11" ht="19.899999999999999" customHeight="1" x14ac:dyDescent="0.3">
      <c r="K1436"/>
    </row>
    <row r="1437" spans="11:11" ht="19.899999999999999" customHeight="1" x14ac:dyDescent="0.3">
      <c r="K1437"/>
    </row>
    <row r="1438" spans="11:11" ht="19.899999999999999" customHeight="1" x14ac:dyDescent="0.3">
      <c r="K1438"/>
    </row>
    <row r="1439" spans="11:11" ht="19.899999999999999" customHeight="1" x14ac:dyDescent="0.3">
      <c r="K1439"/>
    </row>
    <row r="1440" spans="11:11" ht="19.899999999999999" customHeight="1" x14ac:dyDescent="0.3">
      <c r="K1440"/>
    </row>
    <row r="1441" spans="11:11" ht="19.899999999999999" customHeight="1" x14ac:dyDescent="0.3">
      <c r="K1441"/>
    </row>
    <row r="1442" spans="11:11" ht="19.899999999999999" customHeight="1" x14ac:dyDescent="0.3">
      <c r="K1442"/>
    </row>
    <row r="1443" spans="11:11" ht="19.899999999999999" customHeight="1" x14ac:dyDescent="0.3">
      <c r="K1443"/>
    </row>
    <row r="1444" spans="11:11" ht="19.899999999999999" customHeight="1" x14ac:dyDescent="0.3">
      <c r="K1444"/>
    </row>
    <row r="1445" spans="11:11" ht="19.899999999999999" customHeight="1" x14ac:dyDescent="0.3">
      <c r="K1445"/>
    </row>
    <row r="1446" spans="11:11" ht="19.899999999999999" customHeight="1" x14ac:dyDescent="0.3">
      <c r="K1446"/>
    </row>
    <row r="1447" spans="11:11" ht="19.899999999999999" customHeight="1" x14ac:dyDescent="0.3">
      <c r="K1447"/>
    </row>
    <row r="1448" spans="11:11" ht="19.899999999999999" customHeight="1" x14ac:dyDescent="0.3">
      <c r="K1448"/>
    </row>
    <row r="1449" spans="11:11" ht="19.899999999999999" customHeight="1" x14ac:dyDescent="0.3">
      <c r="K1449"/>
    </row>
    <row r="1450" spans="11:11" ht="19.899999999999999" customHeight="1" x14ac:dyDescent="0.3">
      <c r="K1450"/>
    </row>
    <row r="1451" spans="11:11" ht="19.899999999999999" customHeight="1" x14ac:dyDescent="0.3">
      <c r="K1451"/>
    </row>
    <row r="1452" spans="11:11" ht="19.899999999999999" customHeight="1" x14ac:dyDescent="0.3">
      <c r="K1452"/>
    </row>
    <row r="1453" spans="11:11" ht="19.899999999999999" customHeight="1" x14ac:dyDescent="0.3">
      <c r="K1453"/>
    </row>
    <row r="1454" spans="11:11" ht="19.899999999999999" customHeight="1" x14ac:dyDescent="0.3">
      <c r="K1454"/>
    </row>
    <row r="1455" spans="11:11" ht="19.899999999999999" customHeight="1" x14ac:dyDescent="0.3">
      <c r="K1455"/>
    </row>
    <row r="1456" spans="11:11" ht="19.899999999999999" customHeight="1" x14ac:dyDescent="0.3">
      <c r="K1456"/>
    </row>
    <row r="1457" spans="11:11" ht="19.899999999999999" customHeight="1" x14ac:dyDescent="0.3">
      <c r="K1457"/>
    </row>
    <row r="1458" spans="11:11" ht="19.899999999999999" customHeight="1" x14ac:dyDescent="0.3">
      <c r="K1458"/>
    </row>
    <row r="1459" spans="11:11" ht="19.899999999999999" customHeight="1" x14ac:dyDescent="0.3">
      <c r="K1459"/>
    </row>
    <row r="1460" spans="11:11" ht="19.899999999999999" customHeight="1" x14ac:dyDescent="0.3">
      <c r="K1460"/>
    </row>
    <row r="1461" spans="11:11" ht="19.899999999999999" customHeight="1" x14ac:dyDescent="0.3">
      <c r="K1461"/>
    </row>
    <row r="1462" spans="11:11" ht="19.899999999999999" customHeight="1" x14ac:dyDescent="0.3">
      <c r="K1462"/>
    </row>
    <row r="1463" spans="11:11" ht="19.899999999999999" customHeight="1" x14ac:dyDescent="0.3">
      <c r="K1463"/>
    </row>
    <row r="1464" spans="11:11" ht="19.899999999999999" customHeight="1" x14ac:dyDescent="0.3">
      <c r="K1464"/>
    </row>
    <row r="1465" spans="11:11" ht="19.899999999999999" customHeight="1" x14ac:dyDescent="0.3">
      <c r="K1465"/>
    </row>
    <row r="1466" spans="11:11" ht="19.899999999999999" customHeight="1" x14ac:dyDescent="0.3">
      <c r="K1466"/>
    </row>
    <row r="1467" spans="11:11" ht="19.899999999999999" customHeight="1" x14ac:dyDescent="0.3">
      <c r="K1467"/>
    </row>
    <row r="1468" spans="11:11" ht="19.899999999999999" customHeight="1" x14ac:dyDescent="0.3">
      <c r="K1468"/>
    </row>
    <row r="1469" spans="11:11" ht="19.899999999999999" customHeight="1" x14ac:dyDescent="0.3">
      <c r="K1469"/>
    </row>
    <row r="1470" spans="11:11" ht="19.899999999999999" customHeight="1" x14ac:dyDescent="0.3">
      <c r="K1470"/>
    </row>
    <row r="1471" spans="11:11" ht="19.899999999999999" customHeight="1" x14ac:dyDescent="0.3">
      <c r="K1471"/>
    </row>
    <row r="1472" spans="11:11" ht="19.899999999999999" customHeight="1" x14ac:dyDescent="0.3">
      <c r="K1472"/>
    </row>
    <row r="1473" spans="11:11" ht="19.899999999999999" customHeight="1" x14ac:dyDescent="0.3">
      <c r="K1473"/>
    </row>
    <row r="1474" spans="11:11" ht="19.899999999999999" customHeight="1" x14ac:dyDescent="0.3">
      <c r="K1474"/>
    </row>
    <row r="1475" spans="11:11" ht="19.899999999999999" customHeight="1" x14ac:dyDescent="0.3">
      <c r="K1475"/>
    </row>
    <row r="1476" spans="11:11" ht="19.899999999999999" customHeight="1" x14ac:dyDescent="0.3">
      <c r="K1476"/>
    </row>
    <row r="1477" spans="11:11" ht="19.899999999999999" customHeight="1" x14ac:dyDescent="0.3">
      <c r="K1477"/>
    </row>
    <row r="1478" spans="11:11" ht="19.899999999999999" customHeight="1" x14ac:dyDescent="0.3">
      <c r="K1478"/>
    </row>
    <row r="1479" spans="11:11" ht="19.899999999999999" customHeight="1" x14ac:dyDescent="0.3">
      <c r="K1479"/>
    </row>
    <row r="1480" spans="11:11" ht="19.899999999999999" customHeight="1" x14ac:dyDescent="0.3">
      <c r="K1480"/>
    </row>
    <row r="1481" spans="11:11" ht="19.899999999999999" customHeight="1" x14ac:dyDescent="0.3">
      <c r="K1481"/>
    </row>
    <row r="1482" spans="11:11" ht="19.899999999999999" customHeight="1" x14ac:dyDescent="0.3">
      <c r="K1482"/>
    </row>
    <row r="1483" spans="11:11" ht="19.899999999999999" customHeight="1" x14ac:dyDescent="0.3">
      <c r="K1483"/>
    </row>
    <row r="1484" spans="11:11" ht="19.899999999999999" customHeight="1" x14ac:dyDescent="0.3">
      <c r="K1484"/>
    </row>
    <row r="1485" spans="11:11" ht="19.899999999999999" customHeight="1" x14ac:dyDescent="0.3">
      <c r="K1485"/>
    </row>
    <row r="1486" spans="11:11" ht="19.899999999999999" customHeight="1" x14ac:dyDescent="0.3">
      <c r="K1486"/>
    </row>
    <row r="1487" spans="11:11" ht="19.899999999999999" customHeight="1" x14ac:dyDescent="0.3">
      <c r="K1487"/>
    </row>
    <row r="1488" spans="11:11" ht="19.899999999999999" customHeight="1" x14ac:dyDescent="0.3">
      <c r="K1488"/>
    </row>
    <row r="1489" spans="11:11" ht="19.899999999999999" customHeight="1" x14ac:dyDescent="0.3">
      <c r="K1489"/>
    </row>
    <row r="1490" spans="11:11" ht="19.899999999999999" customHeight="1" x14ac:dyDescent="0.3">
      <c r="K1490"/>
    </row>
    <row r="1491" spans="11:11" ht="19.899999999999999" customHeight="1" x14ac:dyDescent="0.3">
      <c r="K1491"/>
    </row>
    <row r="1492" spans="11:11" ht="19.899999999999999" customHeight="1" x14ac:dyDescent="0.3">
      <c r="K1492"/>
    </row>
    <row r="1493" spans="11:11" ht="19.899999999999999" customHeight="1" x14ac:dyDescent="0.3">
      <c r="K1493"/>
    </row>
    <row r="1494" spans="11:11" ht="19.899999999999999" customHeight="1" x14ac:dyDescent="0.3">
      <c r="K1494"/>
    </row>
    <row r="1495" spans="11:11" ht="19.899999999999999" customHeight="1" x14ac:dyDescent="0.3">
      <c r="K1495"/>
    </row>
    <row r="1496" spans="11:11" ht="19.899999999999999" customHeight="1" x14ac:dyDescent="0.3">
      <c r="K1496"/>
    </row>
    <row r="1497" spans="11:11" ht="19.899999999999999" customHeight="1" x14ac:dyDescent="0.3">
      <c r="K1497"/>
    </row>
    <row r="1498" spans="11:11" ht="19.899999999999999" customHeight="1" x14ac:dyDescent="0.3">
      <c r="K1498"/>
    </row>
    <row r="1499" spans="11:11" ht="19.899999999999999" customHeight="1" x14ac:dyDescent="0.3">
      <c r="K1499"/>
    </row>
    <row r="1500" spans="11:11" ht="19.899999999999999" customHeight="1" x14ac:dyDescent="0.3">
      <c r="K1500"/>
    </row>
    <row r="1501" spans="11:11" ht="19.899999999999999" customHeight="1" x14ac:dyDescent="0.3">
      <c r="K1501"/>
    </row>
    <row r="1502" spans="11:11" ht="19.899999999999999" customHeight="1" x14ac:dyDescent="0.3">
      <c r="K1502"/>
    </row>
    <row r="1503" spans="11:11" ht="19.899999999999999" customHeight="1" x14ac:dyDescent="0.3">
      <c r="K1503"/>
    </row>
    <row r="1504" spans="11:11" ht="19.899999999999999" customHeight="1" x14ac:dyDescent="0.3">
      <c r="K1504"/>
    </row>
    <row r="1505" spans="11:11" ht="19.899999999999999" customHeight="1" x14ac:dyDescent="0.3">
      <c r="K1505"/>
    </row>
    <row r="1506" spans="11:11" ht="19.899999999999999" customHeight="1" x14ac:dyDescent="0.3">
      <c r="K1506"/>
    </row>
    <row r="1507" spans="11:11" ht="19.899999999999999" customHeight="1" x14ac:dyDescent="0.3">
      <c r="K1507"/>
    </row>
    <row r="1508" spans="11:11" ht="19.899999999999999" customHeight="1" x14ac:dyDescent="0.3">
      <c r="K1508"/>
    </row>
    <row r="1509" spans="11:11" ht="19.899999999999999" customHeight="1" x14ac:dyDescent="0.3">
      <c r="K1509"/>
    </row>
    <row r="1510" spans="11:11" ht="19.899999999999999" customHeight="1" x14ac:dyDescent="0.3">
      <c r="K1510"/>
    </row>
    <row r="1511" spans="11:11" ht="19.899999999999999" customHeight="1" x14ac:dyDescent="0.3">
      <c r="K1511"/>
    </row>
    <row r="1512" spans="11:11" ht="19.899999999999999" customHeight="1" x14ac:dyDescent="0.3">
      <c r="K1512"/>
    </row>
    <row r="1513" spans="11:11" ht="19.899999999999999" customHeight="1" x14ac:dyDescent="0.3">
      <c r="K1513"/>
    </row>
    <row r="1514" spans="11:11" ht="19.899999999999999" customHeight="1" x14ac:dyDescent="0.3">
      <c r="K1514"/>
    </row>
    <row r="1515" spans="11:11" ht="19.899999999999999" customHeight="1" x14ac:dyDescent="0.3">
      <c r="K1515"/>
    </row>
    <row r="1516" spans="11:11" ht="19.899999999999999" customHeight="1" x14ac:dyDescent="0.3">
      <c r="K1516"/>
    </row>
    <row r="1517" spans="11:11" ht="19.899999999999999" customHeight="1" x14ac:dyDescent="0.3">
      <c r="K1517"/>
    </row>
    <row r="1518" spans="11:11" ht="19.899999999999999" customHeight="1" x14ac:dyDescent="0.3">
      <c r="K1518"/>
    </row>
    <row r="1519" spans="11:11" ht="19.899999999999999" customHeight="1" x14ac:dyDescent="0.3">
      <c r="K1519"/>
    </row>
    <row r="1520" spans="11:11" ht="19.899999999999999" customHeight="1" x14ac:dyDescent="0.3">
      <c r="K1520"/>
    </row>
    <row r="1521" spans="11:11" ht="19.899999999999999" customHeight="1" x14ac:dyDescent="0.3">
      <c r="K1521"/>
    </row>
    <row r="1522" spans="11:11" ht="19.899999999999999" customHeight="1" x14ac:dyDescent="0.3">
      <c r="K1522"/>
    </row>
    <row r="1523" spans="11:11" ht="19.899999999999999" customHeight="1" x14ac:dyDescent="0.3">
      <c r="K1523"/>
    </row>
    <row r="1524" spans="11:11" ht="19.899999999999999" customHeight="1" x14ac:dyDescent="0.3">
      <c r="K1524"/>
    </row>
    <row r="1525" spans="11:11" ht="19.899999999999999" customHeight="1" x14ac:dyDescent="0.3">
      <c r="K1525"/>
    </row>
    <row r="1526" spans="11:11" ht="19.899999999999999" customHeight="1" x14ac:dyDescent="0.3">
      <c r="K1526"/>
    </row>
    <row r="1527" spans="11:11" ht="19.899999999999999" customHeight="1" x14ac:dyDescent="0.3">
      <c r="K1527"/>
    </row>
    <row r="1528" spans="11:11" ht="19.899999999999999" customHeight="1" x14ac:dyDescent="0.3">
      <c r="K1528"/>
    </row>
    <row r="1529" spans="11:11" ht="19.899999999999999" customHeight="1" x14ac:dyDescent="0.3">
      <c r="K1529"/>
    </row>
    <row r="1530" spans="11:11" ht="19.899999999999999" customHeight="1" x14ac:dyDescent="0.3">
      <c r="K1530"/>
    </row>
    <row r="1531" spans="11:11" ht="19.899999999999999" customHeight="1" x14ac:dyDescent="0.3">
      <c r="K1531"/>
    </row>
    <row r="1532" spans="11:11" ht="19.899999999999999" customHeight="1" x14ac:dyDescent="0.3">
      <c r="K1532"/>
    </row>
    <row r="1533" spans="11:11" ht="19.899999999999999" customHeight="1" x14ac:dyDescent="0.3">
      <c r="K1533"/>
    </row>
    <row r="1534" spans="11:11" ht="19.899999999999999" customHeight="1" x14ac:dyDescent="0.3">
      <c r="K1534"/>
    </row>
    <row r="1535" spans="11:11" ht="19.899999999999999" customHeight="1" x14ac:dyDescent="0.3">
      <c r="K1535"/>
    </row>
    <row r="1536" spans="11:11" ht="19.899999999999999" customHeight="1" x14ac:dyDescent="0.3">
      <c r="K1536"/>
    </row>
    <row r="1537" spans="11:11" ht="19.899999999999999" customHeight="1" x14ac:dyDescent="0.3">
      <c r="K1537"/>
    </row>
    <row r="1538" spans="11:11" ht="19.899999999999999" customHeight="1" x14ac:dyDescent="0.3">
      <c r="K1538"/>
    </row>
    <row r="1539" spans="11:11" ht="19.899999999999999" customHeight="1" x14ac:dyDescent="0.3">
      <c r="K1539"/>
    </row>
    <row r="1540" spans="11:11" ht="19.899999999999999" customHeight="1" x14ac:dyDescent="0.3">
      <c r="K1540"/>
    </row>
    <row r="1541" spans="11:11" ht="19.899999999999999" customHeight="1" x14ac:dyDescent="0.3">
      <c r="K1541"/>
    </row>
    <row r="1542" spans="11:11" ht="19.899999999999999" customHeight="1" x14ac:dyDescent="0.3">
      <c r="K1542"/>
    </row>
    <row r="1543" spans="11:11" ht="19.899999999999999" customHeight="1" x14ac:dyDescent="0.3">
      <c r="K1543"/>
    </row>
    <row r="1544" spans="11:11" ht="19.899999999999999" customHeight="1" x14ac:dyDescent="0.3">
      <c r="K1544"/>
    </row>
    <row r="1545" spans="11:11" ht="19.899999999999999" customHeight="1" x14ac:dyDescent="0.3">
      <c r="K1545"/>
    </row>
    <row r="1546" spans="11:11" ht="19.899999999999999" customHeight="1" x14ac:dyDescent="0.3">
      <c r="K1546"/>
    </row>
    <row r="1547" spans="11:11" ht="19.899999999999999" customHeight="1" x14ac:dyDescent="0.3">
      <c r="K1547"/>
    </row>
    <row r="1548" spans="11:11" ht="19.899999999999999" customHeight="1" x14ac:dyDescent="0.3">
      <c r="K1548"/>
    </row>
    <row r="1549" spans="11:11" ht="19.899999999999999" customHeight="1" x14ac:dyDescent="0.3">
      <c r="K1549"/>
    </row>
    <row r="1550" spans="11:11" ht="19.899999999999999" customHeight="1" x14ac:dyDescent="0.3">
      <c r="K1550"/>
    </row>
    <row r="1551" spans="11:11" ht="19.899999999999999" customHeight="1" x14ac:dyDescent="0.3">
      <c r="K1551"/>
    </row>
    <row r="1552" spans="11:11" ht="19.899999999999999" customHeight="1" x14ac:dyDescent="0.3">
      <c r="K1552"/>
    </row>
    <row r="1553" spans="11:11" ht="19.899999999999999" customHeight="1" x14ac:dyDescent="0.3">
      <c r="K1553"/>
    </row>
    <row r="1554" spans="11:11" ht="19.899999999999999" customHeight="1" x14ac:dyDescent="0.3">
      <c r="K1554"/>
    </row>
    <row r="1555" spans="11:11" ht="19.899999999999999" customHeight="1" x14ac:dyDescent="0.3">
      <c r="K1555"/>
    </row>
    <row r="1556" spans="11:11" ht="19.899999999999999" customHeight="1" x14ac:dyDescent="0.3">
      <c r="K1556"/>
    </row>
    <row r="1557" spans="11:11" ht="19.899999999999999" customHeight="1" x14ac:dyDescent="0.3">
      <c r="K1557"/>
    </row>
    <row r="1558" spans="11:11" ht="19.899999999999999" customHeight="1" x14ac:dyDescent="0.3">
      <c r="K1558"/>
    </row>
    <row r="1559" spans="11:11" ht="19.899999999999999" customHeight="1" x14ac:dyDescent="0.3">
      <c r="K1559"/>
    </row>
    <row r="1560" spans="11:11" ht="19.899999999999999" customHeight="1" x14ac:dyDescent="0.3">
      <c r="K1560"/>
    </row>
    <row r="1561" spans="11:11" ht="19.899999999999999" customHeight="1" x14ac:dyDescent="0.3">
      <c r="K1561"/>
    </row>
    <row r="1562" spans="11:11" ht="19.899999999999999" customHeight="1" x14ac:dyDescent="0.3">
      <c r="K1562"/>
    </row>
    <row r="1563" spans="11:11" ht="19.899999999999999" customHeight="1" x14ac:dyDescent="0.3">
      <c r="K1563"/>
    </row>
    <row r="1564" spans="11:11" ht="19.899999999999999" customHeight="1" x14ac:dyDescent="0.3">
      <c r="K1564"/>
    </row>
    <row r="1565" spans="11:11" ht="19.899999999999999" customHeight="1" x14ac:dyDescent="0.3">
      <c r="K1565"/>
    </row>
    <row r="1566" spans="11:11" ht="19.899999999999999" customHeight="1" x14ac:dyDescent="0.3">
      <c r="K1566"/>
    </row>
    <row r="1567" spans="11:11" ht="19.899999999999999" customHeight="1" x14ac:dyDescent="0.3">
      <c r="K1567"/>
    </row>
    <row r="1568" spans="11:11" ht="19.899999999999999" customHeight="1" x14ac:dyDescent="0.3">
      <c r="K1568"/>
    </row>
    <row r="1569" spans="11:11" ht="19.899999999999999" customHeight="1" x14ac:dyDescent="0.3">
      <c r="K1569"/>
    </row>
    <row r="1570" spans="11:11" ht="19.899999999999999" customHeight="1" x14ac:dyDescent="0.3">
      <c r="K1570"/>
    </row>
    <row r="1571" spans="11:11" ht="19.899999999999999" customHeight="1" x14ac:dyDescent="0.3">
      <c r="K1571"/>
    </row>
    <row r="1572" spans="11:11" ht="19.899999999999999" customHeight="1" x14ac:dyDescent="0.3">
      <c r="K1572"/>
    </row>
    <row r="1573" spans="11:11" ht="19.899999999999999" customHeight="1" x14ac:dyDescent="0.3">
      <c r="K1573"/>
    </row>
    <row r="1574" spans="11:11" ht="19.899999999999999" customHeight="1" x14ac:dyDescent="0.3">
      <c r="K1574"/>
    </row>
    <row r="1575" spans="11:11" ht="19.899999999999999" customHeight="1" x14ac:dyDescent="0.3">
      <c r="K1575"/>
    </row>
    <row r="1576" spans="11:11" ht="19.899999999999999" customHeight="1" x14ac:dyDescent="0.3">
      <c r="K1576"/>
    </row>
    <row r="1577" spans="11:11" ht="19.899999999999999" customHeight="1" x14ac:dyDescent="0.3">
      <c r="K1577"/>
    </row>
    <row r="1578" spans="11:11" ht="19.899999999999999" customHeight="1" x14ac:dyDescent="0.3">
      <c r="K1578"/>
    </row>
    <row r="1579" spans="11:11" ht="19.899999999999999" customHeight="1" x14ac:dyDescent="0.3">
      <c r="K1579"/>
    </row>
    <row r="1580" spans="11:11" ht="19.899999999999999" customHeight="1" x14ac:dyDescent="0.3">
      <c r="K1580"/>
    </row>
    <row r="1581" spans="11:11" ht="19.899999999999999" customHeight="1" x14ac:dyDescent="0.3">
      <c r="K1581"/>
    </row>
    <row r="1582" spans="11:11" ht="19.899999999999999" customHeight="1" x14ac:dyDescent="0.3">
      <c r="K1582"/>
    </row>
    <row r="1583" spans="11:11" ht="19.899999999999999" customHeight="1" x14ac:dyDescent="0.3">
      <c r="K1583"/>
    </row>
    <row r="1584" spans="11:11" ht="19.899999999999999" customHeight="1" x14ac:dyDescent="0.3">
      <c r="K1584"/>
    </row>
    <row r="1585" spans="11:11" ht="19.899999999999999" customHeight="1" x14ac:dyDescent="0.3">
      <c r="K1585"/>
    </row>
    <row r="1586" spans="11:11" ht="19.899999999999999" customHeight="1" x14ac:dyDescent="0.3">
      <c r="K1586"/>
    </row>
    <row r="1587" spans="11:11" ht="19.899999999999999" customHeight="1" x14ac:dyDescent="0.3">
      <c r="K1587"/>
    </row>
    <row r="1588" spans="11:11" ht="19.899999999999999" customHeight="1" x14ac:dyDescent="0.3">
      <c r="K1588"/>
    </row>
    <row r="1589" spans="11:11" ht="19.899999999999999" customHeight="1" x14ac:dyDescent="0.3">
      <c r="K1589"/>
    </row>
    <row r="1590" spans="11:11" ht="19.899999999999999" customHeight="1" x14ac:dyDescent="0.3">
      <c r="K1590"/>
    </row>
    <row r="1591" spans="11:11" ht="19.899999999999999" customHeight="1" x14ac:dyDescent="0.3">
      <c r="K1591"/>
    </row>
    <row r="1592" spans="11:11" ht="19.899999999999999" customHeight="1" x14ac:dyDescent="0.3">
      <c r="K1592"/>
    </row>
    <row r="1593" spans="11:11" ht="19.899999999999999" customHeight="1" x14ac:dyDescent="0.3">
      <c r="K1593"/>
    </row>
    <row r="1594" spans="11:11" ht="19.899999999999999" customHeight="1" x14ac:dyDescent="0.3">
      <c r="K1594"/>
    </row>
    <row r="1595" spans="11:11" ht="19.899999999999999" customHeight="1" x14ac:dyDescent="0.3">
      <c r="K1595"/>
    </row>
    <row r="1596" spans="11:11" ht="19.899999999999999" customHeight="1" x14ac:dyDescent="0.3">
      <c r="K1596"/>
    </row>
    <row r="1597" spans="11:11" ht="19.899999999999999" customHeight="1" x14ac:dyDescent="0.3">
      <c r="K1597"/>
    </row>
    <row r="1598" spans="11:11" ht="19.899999999999999" customHeight="1" x14ac:dyDescent="0.3">
      <c r="K1598"/>
    </row>
    <row r="1599" spans="11:11" ht="19.899999999999999" customHeight="1" x14ac:dyDescent="0.3">
      <c r="K1599"/>
    </row>
    <row r="1600" spans="11:11" ht="19.899999999999999" customHeight="1" x14ac:dyDescent="0.3">
      <c r="K1600"/>
    </row>
    <row r="1601" spans="11:11" ht="19.899999999999999" customHeight="1" x14ac:dyDescent="0.3">
      <c r="K1601"/>
    </row>
    <row r="1602" spans="11:11" ht="19.899999999999999" customHeight="1" x14ac:dyDescent="0.3">
      <c r="K1602"/>
    </row>
    <row r="1603" spans="11:11" ht="19.899999999999999" customHeight="1" x14ac:dyDescent="0.3">
      <c r="K1603"/>
    </row>
    <row r="1604" spans="11:11" ht="19.899999999999999" customHeight="1" x14ac:dyDescent="0.3">
      <c r="K1604"/>
    </row>
    <row r="1605" spans="11:11" ht="19.899999999999999" customHeight="1" x14ac:dyDescent="0.3">
      <c r="K1605"/>
    </row>
    <row r="1606" spans="11:11" ht="19.899999999999999" customHeight="1" x14ac:dyDescent="0.3">
      <c r="K1606"/>
    </row>
    <row r="1607" spans="11:11" ht="19.899999999999999" customHeight="1" x14ac:dyDescent="0.3">
      <c r="K1607"/>
    </row>
    <row r="1608" spans="11:11" ht="19.899999999999999" customHeight="1" x14ac:dyDescent="0.3">
      <c r="K1608"/>
    </row>
    <row r="1609" spans="11:11" ht="19.899999999999999" customHeight="1" x14ac:dyDescent="0.3">
      <c r="K1609"/>
    </row>
    <row r="1610" spans="11:11" ht="19.899999999999999" customHeight="1" x14ac:dyDescent="0.3">
      <c r="K1610"/>
    </row>
    <row r="1611" spans="11:11" ht="19.899999999999999" customHeight="1" x14ac:dyDescent="0.3">
      <c r="K1611"/>
    </row>
    <row r="1612" spans="11:11" ht="19.899999999999999" customHeight="1" x14ac:dyDescent="0.3">
      <c r="K1612"/>
    </row>
    <row r="1613" spans="11:11" ht="19.899999999999999" customHeight="1" x14ac:dyDescent="0.3">
      <c r="K1613"/>
    </row>
    <row r="1614" spans="11:11" ht="19.899999999999999" customHeight="1" x14ac:dyDescent="0.3">
      <c r="K1614"/>
    </row>
    <row r="1615" spans="11:11" ht="19.899999999999999" customHeight="1" x14ac:dyDescent="0.3">
      <c r="K1615"/>
    </row>
    <row r="1616" spans="11:11" ht="19.899999999999999" customHeight="1" x14ac:dyDescent="0.3">
      <c r="K1616"/>
    </row>
    <row r="1617" spans="11:11" ht="19.899999999999999" customHeight="1" x14ac:dyDescent="0.3">
      <c r="K1617"/>
    </row>
    <row r="1618" spans="11:11" ht="19.899999999999999" customHeight="1" x14ac:dyDescent="0.3">
      <c r="K1618"/>
    </row>
    <row r="1619" spans="11:11" ht="19.899999999999999" customHeight="1" x14ac:dyDescent="0.3">
      <c r="K1619"/>
    </row>
    <row r="1620" spans="11:11" ht="19.899999999999999" customHeight="1" x14ac:dyDescent="0.3">
      <c r="K1620"/>
    </row>
    <row r="1621" spans="11:11" ht="19.899999999999999" customHeight="1" x14ac:dyDescent="0.3">
      <c r="K1621"/>
    </row>
    <row r="1622" spans="11:11" ht="19.899999999999999" customHeight="1" x14ac:dyDescent="0.3">
      <c r="K1622"/>
    </row>
    <row r="1623" spans="11:11" ht="19.899999999999999" customHeight="1" x14ac:dyDescent="0.3">
      <c r="K1623"/>
    </row>
    <row r="1624" spans="11:11" ht="19.899999999999999" customHeight="1" x14ac:dyDescent="0.3">
      <c r="K1624"/>
    </row>
    <row r="1625" spans="11:11" ht="19.899999999999999" customHeight="1" x14ac:dyDescent="0.3">
      <c r="K1625"/>
    </row>
    <row r="1626" spans="11:11" ht="19.899999999999999" customHeight="1" x14ac:dyDescent="0.3">
      <c r="K1626"/>
    </row>
    <row r="1627" spans="11:11" ht="19.899999999999999" customHeight="1" x14ac:dyDescent="0.3">
      <c r="K1627"/>
    </row>
    <row r="1628" spans="11:11" ht="19.899999999999999" customHeight="1" x14ac:dyDescent="0.3">
      <c r="K1628"/>
    </row>
    <row r="1629" spans="11:11" ht="19.899999999999999" customHeight="1" x14ac:dyDescent="0.3">
      <c r="K1629"/>
    </row>
    <row r="1630" spans="11:11" ht="19.899999999999999" customHeight="1" x14ac:dyDescent="0.3">
      <c r="K1630"/>
    </row>
    <row r="1631" spans="11:11" ht="19.899999999999999" customHeight="1" x14ac:dyDescent="0.3">
      <c r="K1631"/>
    </row>
    <row r="1632" spans="11:11" ht="19.899999999999999" customHeight="1" x14ac:dyDescent="0.3">
      <c r="K1632"/>
    </row>
    <row r="1633" spans="11:11" ht="19.899999999999999" customHeight="1" x14ac:dyDescent="0.3">
      <c r="K1633"/>
    </row>
    <row r="1634" spans="11:11" ht="19.899999999999999" customHeight="1" x14ac:dyDescent="0.3">
      <c r="K1634"/>
    </row>
    <row r="1635" spans="11:11" ht="19.899999999999999" customHeight="1" x14ac:dyDescent="0.3">
      <c r="K1635"/>
    </row>
    <row r="1636" spans="11:11" ht="19.899999999999999" customHeight="1" x14ac:dyDescent="0.3">
      <c r="K1636"/>
    </row>
    <row r="1637" spans="11:11" ht="19.899999999999999" customHeight="1" x14ac:dyDescent="0.3">
      <c r="K1637"/>
    </row>
    <row r="1638" spans="11:11" ht="19.899999999999999" customHeight="1" x14ac:dyDescent="0.3">
      <c r="K1638"/>
    </row>
    <row r="1639" spans="11:11" ht="19.899999999999999" customHeight="1" x14ac:dyDescent="0.3">
      <c r="K1639"/>
    </row>
    <row r="1640" spans="11:11" ht="19.899999999999999" customHeight="1" x14ac:dyDescent="0.3">
      <c r="K1640"/>
    </row>
    <row r="1641" spans="11:11" ht="19.899999999999999" customHeight="1" x14ac:dyDescent="0.3">
      <c r="K1641"/>
    </row>
    <row r="1642" spans="11:11" ht="19.899999999999999" customHeight="1" x14ac:dyDescent="0.3">
      <c r="K1642"/>
    </row>
    <row r="1643" spans="11:11" ht="19.899999999999999" customHeight="1" x14ac:dyDescent="0.3">
      <c r="K1643"/>
    </row>
    <row r="1644" spans="11:11" ht="19.899999999999999" customHeight="1" x14ac:dyDescent="0.3">
      <c r="K1644"/>
    </row>
    <row r="1645" spans="11:11" ht="19.899999999999999" customHeight="1" x14ac:dyDescent="0.3">
      <c r="K1645"/>
    </row>
    <row r="1646" spans="11:11" ht="19.899999999999999" customHeight="1" x14ac:dyDescent="0.3">
      <c r="K1646"/>
    </row>
    <row r="1647" spans="11:11" ht="19.899999999999999" customHeight="1" x14ac:dyDescent="0.3">
      <c r="K1647"/>
    </row>
    <row r="1648" spans="11:11" ht="19.899999999999999" customHeight="1" x14ac:dyDescent="0.3">
      <c r="K1648"/>
    </row>
    <row r="1649" spans="11:11" ht="19.899999999999999" customHeight="1" x14ac:dyDescent="0.3">
      <c r="K1649"/>
    </row>
    <row r="1650" spans="11:11" ht="19.899999999999999" customHeight="1" x14ac:dyDescent="0.3">
      <c r="K1650"/>
    </row>
    <row r="1651" spans="11:11" ht="19.899999999999999" customHeight="1" x14ac:dyDescent="0.3">
      <c r="K1651"/>
    </row>
    <row r="1652" spans="11:11" ht="19.899999999999999" customHeight="1" x14ac:dyDescent="0.3">
      <c r="K1652"/>
    </row>
    <row r="1653" spans="11:11" ht="19.899999999999999" customHeight="1" x14ac:dyDescent="0.3">
      <c r="K1653"/>
    </row>
    <row r="1654" spans="11:11" ht="19.899999999999999" customHeight="1" x14ac:dyDescent="0.3">
      <c r="K1654"/>
    </row>
    <row r="1655" spans="11:11" ht="19.899999999999999" customHeight="1" x14ac:dyDescent="0.3">
      <c r="K1655"/>
    </row>
    <row r="1656" spans="11:11" ht="19.899999999999999" customHeight="1" x14ac:dyDescent="0.3">
      <c r="K1656"/>
    </row>
    <row r="1657" spans="11:11" ht="19.899999999999999" customHeight="1" x14ac:dyDescent="0.3">
      <c r="K1657"/>
    </row>
    <row r="1658" spans="11:11" ht="19.899999999999999" customHeight="1" x14ac:dyDescent="0.3">
      <c r="K1658"/>
    </row>
    <row r="1659" spans="11:11" ht="19.899999999999999" customHeight="1" x14ac:dyDescent="0.3">
      <c r="K1659"/>
    </row>
    <row r="1660" spans="11:11" ht="19.899999999999999" customHeight="1" x14ac:dyDescent="0.3">
      <c r="K1660"/>
    </row>
    <row r="1661" spans="11:11" ht="19.899999999999999" customHeight="1" x14ac:dyDescent="0.3">
      <c r="K1661"/>
    </row>
    <row r="1662" spans="11:11" ht="19.899999999999999" customHeight="1" x14ac:dyDescent="0.3">
      <c r="K1662"/>
    </row>
    <row r="1663" spans="11:11" ht="19.899999999999999" customHeight="1" x14ac:dyDescent="0.3">
      <c r="K1663"/>
    </row>
    <row r="1664" spans="11:11" ht="19.899999999999999" customHeight="1" x14ac:dyDescent="0.3">
      <c r="K1664"/>
    </row>
    <row r="1665" spans="11:11" ht="19.899999999999999" customHeight="1" x14ac:dyDescent="0.3">
      <c r="K1665"/>
    </row>
    <row r="1666" spans="11:11" ht="19.899999999999999" customHeight="1" x14ac:dyDescent="0.3">
      <c r="K1666"/>
    </row>
    <row r="1667" spans="11:11" ht="19.899999999999999" customHeight="1" x14ac:dyDescent="0.3">
      <c r="K1667"/>
    </row>
    <row r="1668" spans="11:11" ht="19.899999999999999" customHeight="1" x14ac:dyDescent="0.3">
      <c r="K1668"/>
    </row>
    <row r="1669" spans="11:11" ht="19.899999999999999" customHeight="1" x14ac:dyDescent="0.3">
      <c r="K1669"/>
    </row>
    <row r="1670" spans="11:11" ht="19.899999999999999" customHeight="1" x14ac:dyDescent="0.3">
      <c r="K1670"/>
    </row>
    <row r="1671" spans="11:11" ht="19.899999999999999" customHeight="1" x14ac:dyDescent="0.3">
      <c r="K1671"/>
    </row>
    <row r="1672" spans="11:11" ht="19.899999999999999" customHeight="1" x14ac:dyDescent="0.3">
      <c r="K1672"/>
    </row>
    <row r="1673" spans="11:11" ht="19.899999999999999" customHeight="1" x14ac:dyDescent="0.3">
      <c r="K1673"/>
    </row>
    <row r="1674" spans="11:11" ht="19.899999999999999" customHeight="1" x14ac:dyDescent="0.3">
      <c r="K1674"/>
    </row>
    <row r="1675" spans="11:11" ht="19.899999999999999" customHeight="1" x14ac:dyDescent="0.3">
      <c r="K1675"/>
    </row>
    <row r="1676" spans="11:11" ht="19.899999999999999" customHeight="1" x14ac:dyDescent="0.3">
      <c r="K1676"/>
    </row>
    <row r="1677" spans="11:11" ht="19.899999999999999" customHeight="1" x14ac:dyDescent="0.3">
      <c r="K1677"/>
    </row>
    <row r="1678" spans="11:11" ht="19.899999999999999" customHeight="1" x14ac:dyDescent="0.3">
      <c r="K1678"/>
    </row>
    <row r="1679" spans="11:11" ht="19.899999999999999" customHeight="1" x14ac:dyDescent="0.3">
      <c r="K1679"/>
    </row>
    <row r="1680" spans="11:11" ht="19.899999999999999" customHeight="1" x14ac:dyDescent="0.3">
      <c r="K1680"/>
    </row>
    <row r="1681" spans="11:11" ht="19.899999999999999" customHeight="1" x14ac:dyDescent="0.3">
      <c r="K1681"/>
    </row>
    <row r="1682" spans="11:11" ht="19.899999999999999" customHeight="1" x14ac:dyDescent="0.3">
      <c r="K1682"/>
    </row>
    <row r="1683" spans="11:11" ht="19.899999999999999" customHeight="1" x14ac:dyDescent="0.3">
      <c r="K1683"/>
    </row>
    <row r="1684" spans="11:11" ht="19.899999999999999" customHeight="1" x14ac:dyDescent="0.3">
      <c r="K1684"/>
    </row>
    <row r="1685" spans="11:11" ht="19.899999999999999" customHeight="1" x14ac:dyDescent="0.3">
      <c r="K1685"/>
    </row>
    <row r="1686" spans="11:11" ht="19.899999999999999" customHeight="1" x14ac:dyDescent="0.3">
      <c r="K1686"/>
    </row>
    <row r="1687" spans="11:11" ht="19.899999999999999" customHeight="1" x14ac:dyDescent="0.3">
      <c r="K1687"/>
    </row>
    <row r="1688" spans="11:11" ht="19.899999999999999" customHeight="1" x14ac:dyDescent="0.3">
      <c r="K1688"/>
    </row>
    <row r="1689" spans="11:11" ht="19.899999999999999" customHeight="1" x14ac:dyDescent="0.3">
      <c r="K1689"/>
    </row>
    <row r="1690" spans="11:11" ht="19.899999999999999" customHeight="1" x14ac:dyDescent="0.3">
      <c r="K1690"/>
    </row>
    <row r="1691" spans="11:11" ht="19.899999999999999" customHeight="1" x14ac:dyDescent="0.3">
      <c r="K1691"/>
    </row>
    <row r="1692" spans="11:11" ht="19.899999999999999" customHeight="1" x14ac:dyDescent="0.3">
      <c r="K1692"/>
    </row>
    <row r="1693" spans="11:11" ht="19.899999999999999" customHeight="1" x14ac:dyDescent="0.3">
      <c r="K1693"/>
    </row>
    <row r="1694" spans="11:11" ht="19.899999999999999" customHeight="1" x14ac:dyDescent="0.3">
      <c r="K1694"/>
    </row>
    <row r="1695" spans="11:11" ht="19.899999999999999" customHeight="1" x14ac:dyDescent="0.3">
      <c r="K1695"/>
    </row>
    <row r="1696" spans="11:11" ht="19.899999999999999" customHeight="1" x14ac:dyDescent="0.3">
      <c r="K1696"/>
    </row>
    <row r="1697" spans="11:11" ht="19.899999999999999" customHeight="1" x14ac:dyDescent="0.3">
      <c r="K1697"/>
    </row>
    <row r="1698" spans="11:11" ht="19.899999999999999" customHeight="1" x14ac:dyDescent="0.3">
      <c r="K1698"/>
    </row>
    <row r="1699" spans="11:11" ht="19.899999999999999" customHeight="1" x14ac:dyDescent="0.3">
      <c r="K1699"/>
    </row>
  </sheetData>
  <phoneticPr fontId="3" type="noConversion"/>
  <pageMargins left="0.7" right="0.7" top="0.75" bottom="0.75" header="0.3" footer="0.3"/>
  <pageSetup paperSize="9" scale="8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자재매출 DATA</vt:lpstr>
      <vt:lpstr>재고자산확인서 양식</vt:lpstr>
      <vt:lpstr>Sheet1</vt:lpstr>
      <vt:lpstr>업체 리스트</vt:lpstr>
      <vt:lpstr>'업체 리스트'!Print_Area</vt:lpstr>
      <vt:lpstr>'재고자산확인서 양식'!Print_Area</vt:lpstr>
      <vt:lpstr>'재고자산확인서 양식'!Print_Titles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현준용 (Junyong Hyun)</dc:creator>
  <cp:keywords/>
  <dc:description/>
  <cp:lastModifiedBy>현준용 (Junyong Hyun)</cp:lastModifiedBy>
  <cp:revision/>
  <cp:lastPrinted>2025-10-02T07:29:06Z</cp:lastPrinted>
  <dcterms:created xsi:type="dcterms:W3CDTF">2024-10-07T23:49:27Z</dcterms:created>
  <dcterms:modified xsi:type="dcterms:W3CDTF">2025-10-02T07:30:55Z</dcterms:modified>
  <cp:category/>
  <cp:contentStatus/>
</cp:coreProperties>
</file>